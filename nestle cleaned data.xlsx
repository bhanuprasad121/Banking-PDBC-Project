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56056b86ca6ffac/Desktop/projects/"/>
    </mc:Choice>
  </mc:AlternateContent>
  <xr:revisionPtr revIDLastSave="0" documentId="8_{DC010974-713D-4928-B9A6-0ACF06A83D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2" r:id="rId1"/>
    <sheet name="Nestle_Raw_Data" sheetId="1" r:id="rId2"/>
  </sheets>
  <definedNames>
    <definedName name="ExternalData_1" localSheetId="0" hidden="1">Table1!$A$1:$L$87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8" i="2" l="1"/>
  <c r="K96" i="2"/>
  <c r="K94" i="2"/>
  <c r="K92" i="2"/>
  <c r="K90" i="2"/>
  <c r="K67" i="2"/>
  <c r="K54" i="2"/>
  <c r="K64" i="2"/>
  <c r="K49" i="2"/>
  <c r="K74" i="2"/>
  <c r="K70" i="2"/>
  <c r="K42" i="2"/>
  <c r="K39" i="2"/>
  <c r="K31" i="2"/>
  <c r="K30" i="2"/>
  <c r="K68" i="2"/>
  <c r="K75" i="2"/>
  <c r="K71" i="2"/>
  <c r="K58" i="2"/>
  <c r="K48" i="2"/>
  <c r="K45" i="2"/>
  <c r="K33" i="2"/>
  <c r="K27" i="2"/>
  <c r="K22" i="2"/>
  <c r="K20" i="2"/>
  <c r="K14" i="2"/>
  <c r="K72" i="2"/>
  <c r="K65" i="2"/>
  <c r="K63" i="2"/>
  <c r="K60" i="2"/>
  <c r="K51" i="2"/>
  <c r="K50" i="2"/>
  <c r="K44" i="2"/>
  <c r="K41" i="2"/>
  <c r="K36" i="2"/>
  <c r="K32" i="2"/>
  <c r="K18" i="2"/>
  <c r="K10" i="2"/>
  <c r="K7" i="2"/>
  <c r="K61" i="2"/>
  <c r="K59" i="2"/>
  <c r="K57" i="2"/>
  <c r="K55" i="2"/>
  <c r="K53" i="2"/>
  <c r="K52" i="2"/>
  <c r="K40" i="2"/>
  <c r="K37" i="2"/>
  <c r="K34" i="2"/>
  <c r="K29" i="2"/>
  <c r="K26" i="2"/>
  <c r="K24" i="2"/>
  <c r="K13" i="2"/>
  <c r="K12" i="2"/>
  <c r="K11" i="2"/>
  <c r="K5" i="2"/>
  <c r="K76" i="2"/>
  <c r="K73" i="2"/>
  <c r="K62" i="2"/>
  <c r="K47" i="2"/>
  <c r="K35" i="2"/>
  <c r="K28" i="2"/>
  <c r="K23" i="2"/>
  <c r="K8" i="2"/>
  <c r="K9" i="2"/>
  <c r="K6" i="2"/>
  <c r="K4" i="2"/>
  <c r="K3" i="2"/>
  <c r="K2" i="2"/>
  <c r="J98" i="2"/>
  <c r="J96" i="2"/>
  <c r="J94" i="2"/>
  <c r="J92" i="2"/>
  <c r="J90" i="2"/>
  <c r="I98" i="2"/>
  <c r="I96" i="2"/>
  <c r="I94" i="2"/>
  <c r="I92" i="2"/>
  <c r="I90" i="2"/>
  <c r="G98" i="2"/>
  <c r="G96" i="2"/>
  <c r="G90" i="2"/>
  <c r="G94" i="2"/>
  <c r="G92" i="2"/>
  <c r="H96" i="2" l="1"/>
  <c r="H90" i="2"/>
  <c r="H94" i="2"/>
  <c r="H98" i="2"/>
  <c r="H9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73F624-84E7-49A9-8E3C-03650C1CE6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<sst xmlns="http://schemas.openxmlformats.org/spreadsheetml/2006/main" count="935" uniqueCount="137">
  <si>
    <t>Product_ID</t>
  </si>
  <si>
    <t>Brand</t>
  </si>
  <si>
    <t>Product_Name</t>
  </si>
  <si>
    <t>Category</t>
  </si>
  <si>
    <t>Country</t>
  </si>
  <si>
    <t>Year</t>
  </si>
  <si>
    <t>Sales_USD_Millions</t>
  </si>
  <si>
    <t>Units_Sold_Millions</t>
  </si>
  <si>
    <t>Market_Share_Percent</t>
  </si>
  <si>
    <t>Production_Cost_Millions</t>
  </si>
  <si>
    <t>Profit_Millions</t>
  </si>
  <si>
    <t>Region</t>
  </si>
  <si>
    <t>N1</t>
  </si>
  <si>
    <t>Nestlé</t>
  </si>
  <si>
    <t>KitKat</t>
  </si>
  <si>
    <t>Brazil</t>
  </si>
  <si>
    <t>North America</t>
  </si>
  <si>
    <t>N2</t>
  </si>
  <si>
    <t>Nespresso</t>
  </si>
  <si>
    <t>Beverages</t>
  </si>
  <si>
    <t>N3</t>
  </si>
  <si>
    <t>Purina</t>
  </si>
  <si>
    <t>Pet Food</t>
  </si>
  <si>
    <t>Germany</t>
  </si>
  <si>
    <t>Europe</t>
  </si>
  <si>
    <t>N4</t>
  </si>
  <si>
    <t>India</t>
  </si>
  <si>
    <t>N5</t>
  </si>
  <si>
    <t>Cerelac</t>
  </si>
  <si>
    <t>Nutrition</t>
  </si>
  <si>
    <t>N6</t>
  </si>
  <si>
    <t>Asia</t>
  </si>
  <si>
    <t>N7</t>
  </si>
  <si>
    <t>Confectionery</t>
  </si>
  <si>
    <t>2023</t>
  </si>
  <si>
    <t>N8</t>
  </si>
  <si>
    <t>Maggi</t>
  </si>
  <si>
    <t>Food</t>
  </si>
  <si>
    <t>N9</t>
  </si>
  <si>
    <t>USA</t>
  </si>
  <si>
    <t>South America</t>
  </si>
  <si>
    <t>N10</t>
  </si>
  <si>
    <t>N11</t>
  </si>
  <si>
    <t>Nescafe</t>
  </si>
  <si>
    <t>N12</t>
  </si>
  <si>
    <t>N13</t>
  </si>
  <si>
    <t>Nestle</t>
  </si>
  <si>
    <t>N14</t>
  </si>
  <si>
    <t>Japan</t>
  </si>
  <si>
    <t>N15</t>
  </si>
  <si>
    <t>N16</t>
  </si>
  <si>
    <t>UK</t>
  </si>
  <si>
    <t>N17</t>
  </si>
  <si>
    <t>N18</t>
  </si>
  <si>
    <t>N19</t>
  </si>
  <si>
    <t>N20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</si>
  <si>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</si>
  <si>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</si>
  <si>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</si>
  <si>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</si>
  <si>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</si>
  <si>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</si>
  <si>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</si>
  <si>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</si>
  <si>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</si>
  <si>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</si>
  <si>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France</t>
  </si>
  <si>
    <t>N32</t>
  </si>
  <si>
    <t>N33</t>
  </si>
  <si>
    <t>N34</t>
  </si>
  <si>
    <t>N35</t>
  </si>
  <si>
    <t>N36</t>
  </si>
  <si>
    <t>N38</t>
  </si>
  <si>
    <t>N39</t>
  </si>
  <si>
    <t>N40</t>
  </si>
  <si>
    <t>N41</t>
  </si>
  <si>
    <t>N42</t>
  </si>
  <si>
    <t>N43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</si>
  <si>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</si>
  <si>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</si>
  <si>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</si>
  <si>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</si>
  <si>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</si>
  <si>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</si>
  <si>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</si>
  <si>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</si>
  <si>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</si>
  <si>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</si>
  <si>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</si>
  <si>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</si>
  <si>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</si>
  <si>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</si>
  <si>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</si>
  <si>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</si>
  <si>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</si>
  <si>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</si>
  <si>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</si>
  <si>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</si>
  <si>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</si>
  <si>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</si>
  <si>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</si>
  <si>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</si>
  <si>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</si>
  <si>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</si>
  <si>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</si>
  <si>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</si>
  <si>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</si>
  <si>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</si>
  <si>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unknown</t>
  </si>
  <si>
    <t>unkown</t>
  </si>
  <si>
    <t>uknown</t>
  </si>
  <si>
    <t>Column1</t>
  </si>
  <si>
    <t>average of Beverage</t>
  </si>
  <si>
    <t>average of Confectionery</t>
  </si>
  <si>
    <t>average of Nutrition</t>
  </si>
  <si>
    <t>average of pet food</t>
  </si>
  <si>
    <t>average of Food</t>
  </si>
  <si>
    <t>average of unit sold Beverage's</t>
  </si>
  <si>
    <t xml:space="preserve"> average of unit sold confectionery</t>
  </si>
  <si>
    <t>average of unit sold food</t>
  </si>
  <si>
    <t>average of  unit sold Nutrition</t>
  </si>
  <si>
    <t>average of unit sold pet food</t>
  </si>
  <si>
    <t>share percentage of Bevaerage</t>
  </si>
  <si>
    <t>share percentae of Cofectionery</t>
  </si>
  <si>
    <t>share percentage of Nutrition</t>
  </si>
  <si>
    <t>share percentage of Food</t>
  </si>
  <si>
    <t>share percentage of Pet Food</t>
  </si>
  <si>
    <t>production cost of Beverages</t>
  </si>
  <si>
    <t>production cost of Confectionery</t>
  </si>
  <si>
    <t>production cost of Nutrition</t>
  </si>
  <si>
    <t>production cost of Pet Food</t>
  </si>
  <si>
    <t>production cost of Food</t>
  </si>
  <si>
    <t>profit of Beverages</t>
  </si>
  <si>
    <t>profit of Confectionery</t>
  </si>
  <si>
    <t>profit of Nutritions</t>
  </si>
  <si>
    <t>profit of Pet Food</t>
  </si>
  <si>
    <t xml:space="preserve">profit of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</si>
</sst>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164" formatCode="0.0%"/>
    </dxf>
    <dxf>
      <numFmt numFmtId="1" formatCode="0"/>
    </dxf>
    <dxf>
      <numFmt numFmtId="1" formatCode="0"/>
    </dxf>
    <dxf>
      <numFmt numFmtId="1" formatCode="0"/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C8D12C-E728-4ECF-B390-6789DDBC1AF3}" autoFormatId="16" applyNumberFormats="0" applyBorderFormats="0" applyFontFormats="0" applyPatternFormats="0" applyAlignmentFormats="0" applyWidthHeightFormats="0">
  <queryTableRefresh nextId="13">
    <queryTableFields count="12">
      <queryTableField id="1" name="Product_ID" tableColumnId="1"/>
      <queryTableField id="2" name="Brand" tableColumnId="2"/>
      <queryTableField id="3" name="Product_Name" tableColumnId="3"/>
      <queryTableField id="4" name="Category" tableColumnId="4"/>
      <queryTableField id="5" name="Country" tableColumnId="5"/>
      <queryTableField id="6" name="Year" tableColumnId="6"/>
      <queryTableField id="7" dataBound="0" tableColumnId="7"/>
      <queryTableField id="8" name="Units_Sold_Millions" tableColumnId="8"/>
      <queryTableField id="9" name="Market_Share_Percent" tableColumnId="9"/>
      <queryTableField id="10" name="Production_Cost_Millions" tableColumnId="10"/>
      <queryTableField id="11" name="Profit_Millions" tableColumnId="11"/>
      <queryTableField id="12" name="Region" tableColumnId="12"/>
    </queryTableFields>
    <queryTableDeletedFields count="1">
      <deletedField name="Sales_USD_Millio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8F4397-B6DC-4E0D-9BA3-44FB374ECE0C}" name="Table1_1" displayName="Table1_1" ref="A1:L87" tableType="queryTable" totalsRowShown="0">
  <autoFilter ref="A1:L87" xr:uid="{3C8F4397-B6DC-4E0D-9BA3-44FB374ECE0C}"/>
  <tableColumns count="12">
    <tableColumn id="1" xr3:uid="{48F5E7BA-3668-4640-8CF2-F097517C12C2}" uniqueName="1" name="Product_ID" queryTableFieldId="1"/>
    <tableColumn id="2" xr3:uid="{57876AEB-CD60-4BBA-95E3-5B36EB423253}" uniqueName="2" name="Brand" queryTableFieldId="2"/>
    <tableColumn id="3" xr3:uid="{0628E933-99E8-427A-9620-257E2394DAA3}" uniqueName="3" name="Product_Name" queryTableFieldId="3"/>
    <tableColumn id="4" xr3:uid="{C24610F3-EF4F-4855-86E6-41D9CFDF2152}" uniqueName="4" name="Category" queryTableFieldId="4"/>
    <tableColumn id="5" xr3:uid="{E9D9D9AA-7B9D-4942-9F8A-95DD83E922B4}" uniqueName="5" name="Country" queryTableFieldId="5"/>
    <tableColumn id="6" xr3:uid="{563DFE04-3CE0-424C-8BE3-EAB21689FC53}" uniqueName="6" name="Year" queryTableFieldId="6" dataDxfId="5"/>
    <tableColumn id="7" xr3:uid="{578E836D-EFFC-4562-8ADD-216629D84D77}" uniqueName="7" name="Sales_USD_Millions" queryTableFieldId="7" dataDxfId="4"/>
    <tableColumn id="8" xr3:uid="{0E06BFE2-B979-45E5-9737-9058600C5E8A}" uniqueName="8" name="Units_Sold_Millions" queryTableFieldId="8" dataDxfId="3"/>
    <tableColumn id="9" xr3:uid="{894A3C36-78DF-481B-94C2-670C0448A26C}" uniqueName="9" name="Market_Share_Percent" queryTableFieldId="9" dataDxfId="2"/>
    <tableColumn id="10" xr3:uid="{67095816-D6AE-43FD-8EA4-B14D3C312C9E}" uniqueName="10" name="Production_Cost_Millions" queryTableFieldId="10" dataDxfId="1"/>
    <tableColumn id="11" xr3:uid="{5B6902E1-D55E-4DF0-8553-612B13F3064A}" uniqueName="11" name="Profit_Millions" queryTableFieldId="11" dataDxfId="0"/>
    <tableColumn id="12" xr3:uid="{C860716B-1515-4F8C-B878-90653E0F5FC7}" uniqueName="12" name="Region" queryTableField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17301E-3B04-4295-8B51-9653AF93BAFF}" name="Table3" displayName="Table3" ref="L88:L89" insertRow="1" totalsRowShown="0">
  <autoFilter ref="L88:L89" xr:uid="{5117301E-3B04-4295-8B51-9653AF93BAFF}"/>
  <tableColumns count="1">
    <tableColumn id="1" xr3:uid="{491DDC9D-B3F1-4A56-877D-855977537A22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560A3-0F9B-4FB0-8B29-E9294231CD28}" name="Table1" displayName="Table1" ref="A1:L76" totalsRowShown="0">
  <autoFilter ref="A1:L76" xr:uid="{B8E560A3-0F9B-4FB0-8B29-E9294231CD28}"/>
  <tableColumns count="12">
    <tableColumn id="1" xr3:uid="{C3571223-73F2-4759-87E6-4CEB77A3AB84}" name="Product_ID"/>
    <tableColumn id="2" xr3:uid="{5D222367-547F-4530-A212-BD1B5A6E0D0A}" name="Brand"/>
    <tableColumn id="3" xr3:uid="{583B8423-EF46-4CE8-B2B7-D20BEEBEE4C1}" name="Product_Name"/>
    <tableColumn id="4" xr3:uid="{9BB1C5E1-C643-424C-8A1F-6B9116EDF150}" name="Category"/>
    <tableColumn id="5" xr3:uid="{48F3B58D-362A-4AF4-B737-B0CFEBD91A38}" name="Country"/>
    <tableColumn id="6" xr3:uid="{92F457CC-C1CE-4CD4-A306-D78738B0D3AA}" name="Year"/>
    <tableColumn id="7" xr3:uid="{4B1732C0-DA9D-41DD-AE44-C871A0CD48D5}" name="Sales_USD_Millions"/>
    <tableColumn id="8" xr3:uid="{86F3938A-76C8-4CC1-9A94-81D8364FB87D}" name="Units_Sold_Millions"/>
    <tableColumn id="9" xr3:uid="{23395CFD-6D62-4753-A00B-79D950BD9E09}" name="Market_Share_Percent"/>
    <tableColumn id="10" xr3:uid="{C60701EE-4796-4EE0-A5EC-9465F2AB0314}" name="Production_Cost_Millions"/>
    <tableColumn id="11" xr3:uid="{FF457342-849A-4C4F-84C2-A319E181B313}" name="Profit_Millions"/>
    <tableColumn id="12" xr3:uid="{3F93F1E7-250E-471C-8EDC-80852BF1855C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6B76-731F-4FF4-B083-BA772EEE76B9}">
  <dimension ref="A1:L98"/>
  <sheetViews>
    <sheetView tabSelected="1" zoomScale="96" workbookViewId="0">
      <selection activeCell="K99" sqref="K99"/>
    </sheetView>
  </sheetViews>
  <sheetFormatPr defaultRowHeight="14.4" x14ac:dyDescent="0.3"/>
  <cols>
    <col min="1" max="1" width="12.6640625" bestFit="1" customWidth="1"/>
    <col min="2" max="2" width="8.21875" bestFit="1" customWidth="1"/>
    <col min="3" max="3" width="16" bestFit="1" customWidth="1"/>
    <col min="4" max="4" width="12.5546875" bestFit="1" customWidth="1"/>
    <col min="5" max="5" width="10" bestFit="1" customWidth="1"/>
    <col min="6" max="6" width="10.5546875" style="3" bestFit="1" customWidth="1"/>
    <col min="7" max="7" width="22.88671875" style="2" bestFit="1" customWidth="1"/>
    <col min="8" max="8" width="20" style="2" bestFit="1" customWidth="1"/>
    <col min="9" max="9" width="25.77734375" style="4" customWidth="1"/>
    <col min="10" max="10" width="25.109375" style="1" bestFit="1" customWidth="1"/>
    <col min="11" max="11" width="14.5546875" style="1" customWidth="1"/>
    <col min="12" max="12" width="12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33</v>
      </c>
      <c r="E2" t="s">
        <v>15</v>
      </c>
      <c r="F2" s="3">
        <v>2021</v>
      </c>
      <c r="G2" s="2">
        <v>332</v>
      </c>
      <c r="H2" s="2">
        <v>39.18181818181818</v>
      </c>
      <c r="I2" s="4">
        <v>6.8260406347544891E-2</v>
      </c>
      <c r="J2" s="1">
        <v>666.09090909090912</v>
      </c>
      <c r="K2" s="1">
        <f>SUMIF(D1:D76,"Confectionery",J1:J76)</f>
        <v>4647.272727272727</v>
      </c>
      <c r="L2" t="s">
        <v>40</v>
      </c>
    </row>
    <row r="3" spans="1:12" x14ac:dyDescent="0.3">
      <c r="A3" t="s">
        <v>17</v>
      </c>
      <c r="B3" t="s">
        <v>13</v>
      </c>
      <c r="C3" t="s">
        <v>18</v>
      </c>
      <c r="D3" t="s">
        <v>19</v>
      </c>
      <c r="E3" t="s">
        <v>15</v>
      </c>
      <c r="F3" s="3">
        <v>2021</v>
      </c>
      <c r="G3" s="2">
        <v>743.33333333333303</v>
      </c>
      <c r="H3" s="2">
        <v>72.086956521739125</v>
      </c>
      <c r="I3" s="4">
        <v>0.32425562139025438</v>
      </c>
      <c r="J3" s="1">
        <v>1862.3478260869565</v>
      </c>
      <c r="K3" s="1">
        <f>SUMIF(D1:D76,"Beverages",J1:J76)</f>
        <v>21563.4347826087</v>
      </c>
      <c r="L3" t="s">
        <v>40</v>
      </c>
    </row>
    <row r="4" spans="1:12" x14ac:dyDescent="0.3">
      <c r="A4" t="s">
        <v>20</v>
      </c>
      <c r="B4" t="s">
        <v>13</v>
      </c>
      <c r="C4" t="s">
        <v>21</v>
      </c>
      <c r="D4" t="s">
        <v>22</v>
      </c>
      <c r="E4" t="s">
        <v>23</v>
      </c>
      <c r="F4" s="3">
        <v>2020</v>
      </c>
      <c r="G4" s="2">
        <v>657.66666666666697</v>
      </c>
      <c r="H4" s="2">
        <v>29.454545454545453</v>
      </c>
      <c r="I4" s="4">
        <v>0.13521865634910246</v>
      </c>
      <c r="J4" s="1">
        <v>537</v>
      </c>
      <c r="K4" s="1">
        <f>SUMIF(D1:D76,"Pet Food",J1:J76)</f>
        <v>4926.2727272727261</v>
      </c>
      <c r="L4" t="s">
        <v>24</v>
      </c>
    </row>
    <row r="5" spans="1:12" x14ac:dyDescent="0.3">
      <c r="A5" t="s">
        <v>25</v>
      </c>
      <c r="B5" t="s">
        <v>13</v>
      </c>
      <c r="C5" t="s">
        <v>18</v>
      </c>
      <c r="D5" t="s">
        <v>19</v>
      </c>
      <c r="E5" t="s">
        <v>26</v>
      </c>
      <c r="F5" s="3">
        <v>2019</v>
      </c>
      <c r="G5" s="2">
        <v>743.33333333333337</v>
      </c>
      <c r="H5" s="2">
        <v>12</v>
      </c>
      <c r="I5" s="4">
        <v>0.32425562139025438</v>
      </c>
      <c r="J5" s="1">
        <v>1862.3478260869565</v>
      </c>
      <c r="K5" s="1">
        <f>SUMIF(D3:D78,"Beverages",J3:J78)</f>
        <v>21563.4347826087</v>
      </c>
      <c r="L5" t="s">
        <v>31</v>
      </c>
    </row>
    <row r="6" spans="1:12" x14ac:dyDescent="0.3">
      <c r="A6" t="s">
        <v>27</v>
      </c>
      <c r="B6" t="s">
        <v>13</v>
      </c>
      <c r="C6" t="s">
        <v>28</v>
      </c>
      <c r="D6" t="s">
        <v>29</v>
      </c>
      <c r="E6" t="s">
        <v>108</v>
      </c>
      <c r="F6" s="3">
        <v>2019</v>
      </c>
      <c r="G6" s="2">
        <v>756</v>
      </c>
      <c r="H6" s="2">
        <v>18.888888888888889</v>
      </c>
      <c r="I6" s="4">
        <v>0.25435038597409387</v>
      </c>
      <c r="J6" s="1">
        <v>651</v>
      </c>
      <c r="K6" s="1">
        <f>SUMIF(D1:D76,"Nutrition",J1:J76)</f>
        <v>5936.3333333333339</v>
      </c>
      <c r="L6" t="s">
        <v>109</v>
      </c>
    </row>
    <row r="7" spans="1:12" x14ac:dyDescent="0.3">
      <c r="A7" t="s">
        <v>30</v>
      </c>
      <c r="B7" t="s">
        <v>13</v>
      </c>
      <c r="C7" t="s">
        <v>28</v>
      </c>
      <c r="D7" t="s">
        <v>29</v>
      </c>
      <c r="E7" t="s">
        <v>15</v>
      </c>
      <c r="F7" s="3">
        <v>2019</v>
      </c>
      <c r="G7" s="2">
        <v>756</v>
      </c>
      <c r="H7" s="2">
        <v>15</v>
      </c>
      <c r="I7" s="4">
        <v>0.25435038597409387</v>
      </c>
      <c r="J7" s="1">
        <v>250</v>
      </c>
      <c r="K7" s="1">
        <f>SUMIF(D2:D77,"Nutrition",J2:J77)</f>
        <v>5936.3333333333339</v>
      </c>
      <c r="L7" t="s">
        <v>40</v>
      </c>
    </row>
    <row r="8" spans="1:12" x14ac:dyDescent="0.3">
      <c r="A8" t="s">
        <v>32</v>
      </c>
      <c r="B8" t="s">
        <v>13</v>
      </c>
      <c r="C8" t="s">
        <v>14</v>
      </c>
      <c r="D8" t="s">
        <v>33</v>
      </c>
      <c r="E8" t="s">
        <v>15</v>
      </c>
      <c r="F8" s="3" t="s">
        <v>34</v>
      </c>
      <c r="G8" s="2">
        <v>332</v>
      </c>
      <c r="H8" s="2">
        <v>39.18181818181818</v>
      </c>
      <c r="I8" s="4">
        <v>0.34</v>
      </c>
      <c r="J8" s="1">
        <v>626.90909090909088</v>
      </c>
      <c r="K8" s="1">
        <f>SUMIF(D7:D82,"Confectionery",J7:J82)</f>
        <v>3981.181818181818</v>
      </c>
      <c r="L8" t="s">
        <v>40</v>
      </c>
    </row>
    <row r="9" spans="1:12" x14ac:dyDescent="0.3">
      <c r="A9" t="s">
        <v>35</v>
      </c>
      <c r="B9" t="s">
        <v>13</v>
      </c>
      <c r="C9" t="s">
        <v>36</v>
      </c>
      <c r="D9" t="s">
        <v>37</v>
      </c>
      <c r="E9" t="s">
        <v>108</v>
      </c>
      <c r="F9" s="3">
        <v>2022</v>
      </c>
      <c r="G9" s="2">
        <v>971.55555555555554</v>
      </c>
      <c r="H9" s="2">
        <v>35.416666666666664</v>
      </c>
      <c r="I9" s="4">
        <v>0.31</v>
      </c>
      <c r="J9" s="1">
        <v>672.91666666666663</v>
      </c>
      <c r="K9" s="1">
        <f>SUMIF(D1:D76,"Food",J1:J76)</f>
        <v>5053.0833333333339</v>
      </c>
      <c r="L9" t="s">
        <v>109</v>
      </c>
    </row>
    <row r="10" spans="1:12" x14ac:dyDescent="0.3">
      <c r="A10" t="s">
        <v>38</v>
      </c>
      <c r="B10" t="s">
        <v>13</v>
      </c>
      <c r="C10" t="s">
        <v>28</v>
      </c>
      <c r="D10" t="s">
        <v>29</v>
      </c>
      <c r="E10" t="s">
        <v>39</v>
      </c>
      <c r="F10" s="3">
        <v>2020</v>
      </c>
      <c r="G10" s="2">
        <v>756</v>
      </c>
      <c r="H10" s="2">
        <v>110</v>
      </c>
      <c r="I10" s="4">
        <v>0.25909014148866066</v>
      </c>
      <c r="J10" s="1">
        <v>566.66666666666674</v>
      </c>
      <c r="K10" s="1">
        <f>SUMIF(D5:D80,"Nutrition",J5:J80)</f>
        <v>5936.3333333333339</v>
      </c>
      <c r="L10" t="s">
        <v>16</v>
      </c>
    </row>
    <row r="11" spans="1:12" x14ac:dyDescent="0.3">
      <c r="A11" t="s">
        <v>41</v>
      </c>
      <c r="B11" t="s">
        <v>13</v>
      </c>
      <c r="C11" t="s">
        <v>18</v>
      </c>
      <c r="D11" t="s">
        <v>19</v>
      </c>
      <c r="E11" t="s">
        <v>108</v>
      </c>
      <c r="F11" s="3">
        <v>2021</v>
      </c>
      <c r="G11" s="2">
        <v>743.33333333333337</v>
      </c>
      <c r="H11" s="2">
        <v>72.086956521739125</v>
      </c>
      <c r="I11" s="4">
        <v>0.32425562139025438</v>
      </c>
      <c r="J11" s="1">
        <v>1778.2608695652175</v>
      </c>
      <c r="K11" s="1">
        <f>SUMIF(D9:D84,"Beverages",J9:J84)</f>
        <v>17838.739130434788</v>
      </c>
      <c r="L11" t="s">
        <v>109</v>
      </c>
    </row>
    <row r="12" spans="1:12" x14ac:dyDescent="0.3">
      <c r="A12" t="s">
        <v>42</v>
      </c>
      <c r="B12" t="s">
        <v>13</v>
      </c>
      <c r="C12" t="s">
        <v>43</v>
      </c>
      <c r="D12" t="s">
        <v>19</v>
      </c>
      <c r="E12" t="s">
        <v>23</v>
      </c>
      <c r="F12" s="3">
        <v>2019</v>
      </c>
      <c r="G12" s="2">
        <v>743.33333333333337</v>
      </c>
      <c r="H12" s="2">
        <v>118</v>
      </c>
      <c r="I12" s="4">
        <v>0.32425562139025438</v>
      </c>
      <c r="J12" s="1">
        <v>1862.3478260869565</v>
      </c>
      <c r="K12" s="1">
        <f>SUMIF(D10:D85,"Beverages",J10:J85)</f>
        <v>17838.739130434788</v>
      </c>
      <c r="L12" t="s">
        <v>24</v>
      </c>
    </row>
    <row r="13" spans="1:12" x14ac:dyDescent="0.3">
      <c r="A13" t="s">
        <v>44</v>
      </c>
      <c r="B13" t="s">
        <v>13</v>
      </c>
      <c r="C13" t="s">
        <v>43</v>
      </c>
      <c r="D13" t="s">
        <v>19</v>
      </c>
      <c r="E13" t="s">
        <v>26</v>
      </c>
      <c r="F13" s="3">
        <v>2020</v>
      </c>
      <c r="G13" s="2">
        <v>476</v>
      </c>
      <c r="H13" s="2">
        <v>72.086956521739125</v>
      </c>
      <c r="I13" s="4">
        <v>0.32425562139025438</v>
      </c>
      <c r="J13" s="1">
        <v>1862.3478260869565</v>
      </c>
      <c r="K13" s="1">
        <f>SUMIF(D11:D86,"Beverages",J11:J86)</f>
        <v>17838.739130434788</v>
      </c>
      <c r="L13" t="s">
        <v>31</v>
      </c>
    </row>
    <row r="14" spans="1:12" x14ac:dyDescent="0.3">
      <c r="A14" t="s">
        <v>45</v>
      </c>
      <c r="B14" t="s">
        <v>46</v>
      </c>
      <c r="C14" t="s">
        <v>21</v>
      </c>
      <c r="D14" t="s">
        <v>22</v>
      </c>
      <c r="E14" t="s">
        <v>26</v>
      </c>
      <c r="F14" s="3">
        <v>2020</v>
      </c>
      <c r="G14" s="2">
        <v>657.66666666666663</v>
      </c>
      <c r="H14" s="2">
        <v>29.454545454545453</v>
      </c>
      <c r="I14" s="4">
        <v>0.30126783859209538</v>
      </c>
      <c r="J14" s="1">
        <v>674</v>
      </c>
      <c r="K14" s="1">
        <f>SUMIF(D11:D86,"Pet Food",J11:J86)</f>
        <v>4389.272727272727</v>
      </c>
      <c r="L14" t="s">
        <v>31</v>
      </c>
    </row>
    <row r="15" spans="1:12" x14ac:dyDescent="0.3">
      <c r="A15" t="s">
        <v>47</v>
      </c>
      <c r="B15" t="s">
        <v>13</v>
      </c>
      <c r="C15" t="s">
        <v>28</v>
      </c>
      <c r="D15" t="s">
        <v>29</v>
      </c>
      <c r="E15" t="s">
        <v>48</v>
      </c>
      <c r="F15" s="3">
        <v>2019</v>
      </c>
      <c r="G15" s="2">
        <v>1420</v>
      </c>
      <c r="H15" s="2">
        <v>18.888888888888889</v>
      </c>
      <c r="I15" s="4">
        <v>0.23853735591640515</v>
      </c>
      <c r="J15" s="1">
        <v>747</v>
      </c>
      <c r="K15" s="1">
        <v>673</v>
      </c>
      <c r="L15" t="s">
        <v>31</v>
      </c>
    </row>
    <row r="16" spans="1:12" x14ac:dyDescent="0.3">
      <c r="A16" t="s">
        <v>49</v>
      </c>
      <c r="B16" t="s">
        <v>13</v>
      </c>
      <c r="C16" t="s">
        <v>18</v>
      </c>
      <c r="D16" t="s">
        <v>19</v>
      </c>
      <c r="E16" t="s">
        <v>15</v>
      </c>
      <c r="F16" s="3">
        <v>2019</v>
      </c>
      <c r="G16" s="2">
        <v>861</v>
      </c>
      <c r="H16" s="2">
        <v>113</v>
      </c>
      <c r="I16" s="4">
        <v>0.32425562139025438</v>
      </c>
      <c r="J16" s="1">
        <v>529</v>
      </c>
      <c r="K16" s="1">
        <v>332</v>
      </c>
      <c r="L16" t="s">
        <v>40</v>
      </c>
    </row>
    <row r="17" spans="1:12" x14ac:dyDescent="0.3">
      <c r="A17" t="s">
        <v>50</v>
      </c>
      <c r="B17" t="s">
        <v>13</v>
      </c>
      <c r="C17" t="s">
        <v>36</v>
      </c>
      <c r="D17" t="s">
        <v>37</v>
      </c>
      <c r="E17" t="s">
        <v>51</v>
      </c>
      <c r="F17" s="3">
        <v>2019</v>
      </c>
      <c r="G17" s="2">
        <v>702</v>
      </c>
      <c r="H17" s="2">
        <v>35.416666666666664</v>
      </c>
      <c r="I17" s="4">
        <v>0.21791492993900421</v>
      </c>
      <c r="J17" s="1">
        <v>101</v>
      </c>
      <c r="K17" s="1">
        <v>601</v>
      </c>
      <c r="L17" t="s">
        <v>24</v>
      </c>
    </row>
    <row r="18" spans="1:12" x14ac:dyDescent="0.3">
      <c r="A18" t="s">
        <v>52</v>
      </c>
      <c r="B18" t="s">
        <v>13</v>
      </c>
      <c r="C18" t="s">
        <v>28</v>
      </c>
      <c r="D18" t="s">
        <v>29</v>
      </c>
      <c r="E18" t="s">
        <v>23</v>
      </c>
      <c r="F18" s="3">
        <v>2019</v>
      </c>
      <c r="G18" s="2">
        <v>756</v>
      </c>
      <c r="H18" s="2">
        <v>18.888888888888889</v>
      </c>
      <c r="I18" s="4">
        <v>0.22937854730437848</v>
      </c>
      <c r="J18" s="1">
        <v>132</v>
      </c>
      <c r="K18" s="1">
        <f>SUMIF(D13:D88,"Nutrition",J13:J88)</f>
        <v>4468.6666666666679</v>
      </c>
      <c r="L18" t="s">
        <v>24</v>
      </c>
    </row>
    <row r="19" spans="1:12" x14ac:dyDescent="0.3">
      <c r="A19" t="s">
        <v>53</v>
      </c>
      <c r="B19" t="s">
        <v>13</v>
      </c>
      <c r="C19" t="s">
        <v>43</v>
      </c>
      <c r="D19" t="s">
        <v>19</v>
      </c>
      <c r="E19" t="s">
        <v>51</v>
      </c>
      <c r="F19" s="3">
        <v>2019</v>
      </c>
      <c r="G19" s="2">
        <v>747</v>
      </c>
      <c r="H19" s="2">
        <v>116</v>
      </c>
      <c r="I19" s="4">
        <v>0.26</v>
      </c>
      <c r="J19" s="1">
        <v>229</v>
      </c>
      <c r="K19" s="1">
        <v>518</v>
      </c>
      <c r="L19" t="s">
        <v>24</v>
      </c>
    </row>
    <row r="20" spans="1:12" x14ac:dyDescent="0.3">
      <c r="A20" t="s">
        <v>54</v>
      </c>
      <c r="B20" t="s">
        <v>13</v>
      </c>
      <c r="C20" t="s">
        <v>21</v>
      </c>
      <c r="D20" t="s">
        <v>22</v>
      </c>
      <c r="E20" t="s">
        <v>15</v>
      </c>
      <c r="F20" s="3">
        <v>2022</v>
      </c>
      <c r="G20" s="2">
        <v>657.66666666666663</v>
      </c>
      <c r="H20" s="2">
        <v>73</v>
      </c>
      <c r="I20" s="4">
        <v>0.16</v>
      </c>
      <c r="J20" s="1">
        <v>530.18181818181813</v>
      </c>
      <c r="K20" s="1">
        <f>SUMIF(D17:D92,"Pet Food",J17:J92)</f>
        <v>3715.2727272727275</v>
      </c>
      <c r="L20" t="s">
        <v>40</v>
      </c>
    </row>
    <row r="21" spans="1:12" x14ac:dyDescent="0.3">
      <c r="A21" t="s">
        <v>55</v>
      </c>
      <c r="B21" t="s">
        <v>13</v>
      </c>
      <c r="C21" t="s">
        <v>36</v>
      </c>
      <c r="D21" t="s">
        <v>37</v>
      </c>
      <c r="E21" t="s">
        <v>26</v>
      </c>
      <c r="F21" s="3">
        <v>2022</v>
      </c>
      <c r="G21" s="2">
        <v>737</v>
      </c>
      <c r="H21" s="2">
        <v>112</v>
      </c>
      <c r="I21" s="4">
        <v>0.49</v>
      </c>
      <c r="J21" s="1">
        <v>826</v>
      </c>
      <c r="K21" s="1">
        <v>-89</v>
      </c>
      <c r="L21" t="s">
        <v>31</v>
      </c>
    </row>
    <row r="22" spans="1:12" x14ac:dyDescent="0.3">
      <c r="A22" t="s">
        <v>55</v>
      </c>
      <c r="B22" t="s">
        <v>46</v>
      </c>
      <c r="C22" t="s">
        <v>21</v>
      </c>
      <c r="D22" t="s">
        <v>22</v>
      </c>
      <c r="E22" t="s">
        <v>108</v>
      </c>
      <c r="F22" s="3" t="s">
        <v>34</v>
      </c>
      <c r="G22" s="2">
        <v>657.66666666666663</v>
      </c>
      <c r="H22" s="2">
        <v>29.454545454545453</v>
      </c>
      <c r="I22" s="4">
        <v>0.28049188677872378</v>
      </c>
      <c r="J22" s="1">
        <v>530.18181818181813</v>
      </c>
      <c r="K22" s="1">
        <f>SUMIF(D19:D94,"Pet Food",J19:J94)</f>
        <v>3715.2727272727275</v>
      </c>
      <c r="L22" t="s">
        <v>109</v>
      </c>
    </row>
    <row r="23" spans="1:12" x14ac:dyDescent="0.3">
      <c r="A23" t="s">
        <v>56</v>
      </c>
      <c r="B23" t="s">
        <v>13</v>
      </c>
      <c r="C23" t="s">
        <v>14</v>
      </c>
      <c r="D23" t="s">
        <v>33</v>
      </c>
      <c r="E23" t="s">
        <v>39</v>
      </c>
      <c r="F23" s="3">
        <v>2021</v>
      </c>
      <c r="G23" s="2">
        <v>332</v>
      </c>
      <c r="H23" s="2">
        <v>47</v>
      </c>
      <c r="I23" s="4">
        <v>0.26</v>
      </c>
      <c r="J23" s="1">
        <v>587.72727272727275</v>
      </c>
      <c r="K23" s="1">
        <f>SUMIF(D22:D97,"Confectionery",J22:J97)</f>
        <v>3354.272727272727</v>
      </c>
      <c r="L23" t="s">
        <v>16</v>
      </c>
    </row>
    <row r="24" spans="1:12" x14ac:dyDescent="0.3">
      <c r="A24" t="s">
        <v>57</v>
      </c>
      <c r="B24" t="s">
        <v>13</v>
      </c>
      <c r="C24" t="s">
        <v>43</v>
      </c>
      <c r="D24" t="s">
        <v>19</v>
      </c>
      <c r="E24" t="s">
        <v>15</v>
      </c>
      <c r="F24" s="3">
        <v>2022</v>
      </c>
      <c r="G24" s="2">
        <v>743.33333333333337</v>
      </c>
      <c r="H24" s="2">
        <v>84</v>
      </c>
      <c r="I24" s="4">
        <v>0.32425562139025438</v>
      </c>
      <c r="J24" s="1">
        <v>1588.1739130434783</v>
      </c>
      <c r="K24" s="1">
        <f>SUMIF(D22:D97,"Beverages",J22:J97)</f>
        <v>11577.782608695654</v>
      </c>
      <c r="L24" t="s">
        <v>40</v>
      </c>
    </row>
    <row r="25" spans="1:12" x14ac:dyDescent="0.3">
      <c r="A25" t="s">
        <v>58</v>
      </c>
      <c r="B25" t="s">
        <v>13</v>
      </c>
      <c r="C25" t="s">
        <v>28</v>
      </c>
      <c r="D25" t="s">
        <v>29</v>
      </c>
      <c r="E25" t="s">
        <v>51</v>
      </c>
      <c r="F25" s="3">
        <v>2022</v>
      </c>
      <c r="G25" s="2">
        <v>262</v>
      </c>
      <c r="H25" s="2">
        <v>18.888888888888889</v>
      </c>
      <c r="I25" s="4">
        <v>0.20913655216209245</v>
      </c>
      <c r="J25" s="1">
        <v>311</v>
      </c>
      <c r="K25" s="1">
        <v>-49</v>
      </c>
      <c r="L25" t="s">
        <v>24</v>
      </c>
    </row>
    <row r="26" spans="1:12" x14ac:dyDescent="0.3">
      <c r="A26" t="s">
        <v>59</v>
      </c>
      <c r="B26" t="s">
        <v>13</v>
      </c>
      <c r="C26" t="s">
        <v>43</v>
      </c>
      <c r="D26" t="s">
        <v>19</v>
      </c>
      <c r="E26" t="s">
        <v>26</v>
      </c>
      <c r="F26" s="3">
        <v>2020</v>
      </c>
      <c r="G26" s="2">
        <v>743.33333333333337</v>
      </c>
      <c r="H26" s="2">
        <v>84</v>
      </c>
      <c r="I26" s="4">
        <v>0.13</v>
      </c>
      <c r="J26" s="1">
        <v>592</v>
      </c>
      <c r="K26" s="1">
        <f>SUMIF(D24:D99,"Beverages",J24:J99)</f>
        <v>11577.782608695654</v>
      </c>
      <c r="L26" t="s">
        <v>31</v>
      </c>
    </row>
    <row r="27" spans="1:12" x14ac:dyDescent="0.3">
      <c r="A27" t="s">
        <v>60</v>
      </c>
      <c r="B27" t="s">
        <v>13</v>
      </c>
      <c r="C27" t="s">
        <v>21</v>
      </c>
      <c r="D27" t="s">
        <v>22</v>
      </c>
      <c r="E27" t="s">
        <v>26</v>
      </c>
      <c r="F27" s="3">
        <v>2021</v>
      </c>
      <c r="G27" s="2">
        <v>657.66666666666663</v>
      </c>
      <c r="H27" s="2">
        <v>64</v>
      </c>
      <c r="I27" s="4">
        <v>0.28999999999999998</v>
      </c>
      <c r="J27" s="1">
        <v>500.72727272727269</v>
      </c>
      <c r="K27" s="1">
        <f>SUMIF(D24:D99,"Pet Food",J24:J99)</f>
        <v>2654.909090909091</v>
      </c>
      <c r="L27" t="s">
        <v>31</v>
      </c>
    </row>
    <row r="28" spans="1:12" x14ac:dyDescent="0.3">
      <c r="A28" t="s">
        <v>61</v>
      </c>
      <c r="B28" t="s">
        <v>13</v>
      </c>
      <c r="C28" t="s">
        <v>14</v>
      </c>
      <c r="D28" t="s">
        <v>33</v>
      </c>
      <c r="E28" t="s">
        <v>108</v>
      </c>
      <c r="F28" s="3">
        <v>2019</v>
      </c>
      <c r="G28" s="2">
        <v>332</v>
      </c>
      <c r="H28" s="2">
        <v>142</v>
      </c>
      <c r="I28" s="4">
        <v>0.49</v>
      </c>
      <c r="J28" s="1">
        <v>540.72727272727275</v>
      </c>
      <c r="K28" s="1">
        <f>SUMIF(D27:D102,"Confectionery",J27:J102)</f>
        <v>2766.5454545454545</v>
      </c>
      <c r="L28" t="s">
        <v>109</v>
      </c>
    </row>
    <row r="29" spans="1:12" x14ac:dyDescent="0.3">
      <c r="A29" t="s">
        <v>62</v>
      </c>
      <c r="B29" t="s">
        <v>13</v>
      </c>
      <c r="C29" t="s">
        <v>18</v>
      </c>
      <c r="D29" t="s">
        <v>19</v>
      </c>
      <c r="E29" t="s">
        <v>23</v>
      </c>
      <c r="F29" s="3">
        <v>2022</v>
      </c>
      <c r="G29" s="2">
        <v>506</v>
      </c>
      <c r="H29" s="2">
        <v>48</v>
      </c>
      <c r="I29" s="4">
        <v>0.32425562139025438</v>
      </c>
      <c r="J29" s="1">
        <v>1403.086956521739</v>
      </c>
      <c r="K29" s="1">
        <f>SUMIF(D27:D102,"Beverages",J27:J102)</f>
        <v>9397.608695652174</v>
      </c>
      <c r="L29" t="s">
        <v>24</v>
      </c>
    </row>
    <row r="30" spans="1:12" x14ac:dyDescent="0.3">
      <c r="A30" t="s">
        <v>63</v>
      </c>
      <c r="B30" t="s">
        <v>13</v>
      </c>
      <c r="C30" t="s">
        <v>36</v>
      </c>
      <c r="D30" t="s">
        <v>37</v>
      </c>
      <c r="E30" t="s">
        <v>15</v>
      </c>
      <c r="F30" s="3">
        <v>2022</v>
      </c>
      <c r="G30" s="2">
        <v>292</v>
      </c>
      <c r="H30" s="2">
        <v>66</v>
      </c>
      <c r="I30" s="4">
        <v>0.21827390482538983</v>
      </c>
      <c r="J30" s="1">
        <v>490.08333333333337</v>
      </c>
      <c r="K30" s="1">
        <f>SUMIF(D22:D97,"Food",J22:J97)</f>
        <v>3453.1666666666665</v>
      </c>
      <c r="L30" t="s">
        <v>40</v>
      </c>
    </row>
    <row r="31" spans="1:12" x14ac:dyDescent="0.3">
      <c r="A31" t="s">
        <v>64</v>
      </c>
      <c r="B31" t="s">
        <v>13</v>
      </c>
      <c r="C31" t="s">
        <v>36</v>
      </c>
      <c r="D31" t="s">
        <v>37</v>
      </c>
      <c r="E31" t="s">
        <v>108</v>
      </c>
      <c r="F31" s="3">
        <v>2021</v>
      </c>
      <c r="G31" s="2">
        <v>971.55555555555554</v>
      </c>
      <c r="H31" s="2">
        <v>92</v>
      </c>
      <c r="I31" s="4">
        <v>0.37</v>
      </c>
      <c r="J31" s="1">
        <v>490.08333333333337</v>
      </c>
      <c r="K31" s="1">
        <f>SUMIF(D23:D98,"Food",J23:J98)</f>
        <v>3453.1666666666665</v>
      </c>
      <c r="L31" t="s">
        <v>40</v>
      </c>
    </row>
    <row r="32" spans="1:12" x14ac:dyDescent="0.3">
      <c r="A32" t="s">
        <v>65</v>
      </c>
      <c r="B32" t="s">
        <v>13</v>
      </c>
      <c r="C32" t="s">
        <v>28</v>
      </c>
      <c r="D32" t="s">
        <v>29</v>
      </c>
      <c r="E32" t="s">
        <v>66</v>
      </c>
      <c r="F32" s="3">
        <v>2022</v>
      </c>
      <c r="G32" s="2">
        <v>756</v>
      </c>
      <c r="H32" s="2">
        <v>18.888888888888889</v>
      </c>
      <c r="I32" s="4">
        <v>0.46</v>
      </c>
      <c r="J32" s="1">
        <v>385.00000000000011</v>
      </c>
      <c r="K32" s="1">
        <f>SUMIF(D27:D102,"Nutrition",J27:J102)</f>
        <v>3278.666666666667</v>
      </c>
      <c r="L32" t="s">
        <v>24</v>
      </c>
    </row>
    <row r="33" spans="1:12" x14ac:dyDescent="0.3">
      <c r="A33" t="s">
        <v>67</v>
      </c>
      <c r="B33" t="s">
        <v>46</v>
      </c>
      <c r="C33" t="s">
        <v>21</v>
      </c>
      <c r="D33" t="s">
        <v>22</v>
      </c>
      <c r="E33" t="s">
        <v>108</v>
      </c>
      <c r="F33" s="3">
        <v>2020</v>
      </c>
      <c r="G33" s="2">
        <v>657.66666666666663</v>
      </c>
      <c r="H33" s="2">
        <v>29.454545454545453</v>
      </c>
      <c r="I33" s="4">
        <v>0.27173228846311237</v>
      </c>
      <c r="J33" s="1">
        <v>500.72727272727269</v>
      </c>
      <c r="K33" s="1">
        <f>SUMIF(D30:D105,"Pet Food",J30:J105)</f>
        <v>2154.181818181818</v>
      </c>
      <c r="L33" t="s">
        <v>109</v>
      </c>
    </row>
    <row r="34" spans="1:12" x14ac:dyDescent="0.3">
      <c r="A34" t="s">
        <v>68</v>
      </c>
      <c r="B34" t="s">
        <v>13</v>
      </c>
      <c r="C34" t="s">
        <v>43</v>
      </c>
      <c r="D34" t="s">
        <v>19</v>
      </c>
      <c r="E34" t="s">
        <v>51</v>
      </c>
      <c r="F34" s="3">
        <v>2019</v>
      </c>
      <c r="G34" s="2">
        <v>743.33333333333337</v>
      </c>
      <c r="H34" s="2">
        <v>84</v>
      </c>
      <c r="I34" s="4">
        <v>0.32425562139025438</v>
      </c>
      <c r="J34" s="1">
        <v>481</v>
      </c>
      <c r="K34" s="1">
        <f>SUMIF(D32:D107,"Beverages",J32:J107)</f>
        <v>7994.5217391304341</v>
      </c>
      <c r="L34" t="s">
        <v>24</v>
      </c>
    </row>
    <row r="35" spans="1:12" x14ac:dyDescent="0.3">
      <c r="A35" t="s">
        <v>69</v>
      </c>
      <c r="B35" t="s">
        <v>13</v>
      </c>
      <c r="C35" t="s">
        <v>14</v>
      </c>
      <c r="D35" t="s">
        <v>33</v>
      </c>
      <c r="E35" t="s">
        <v>15</v>
      </c>
      <c r="F35" s="3" t="s">
        <v>34</v>
      </c>
      <c r="G35" s="2">
        <v>332</v>
      </c>
      <c r="H35" s="2">
        <v>39.18181818181818</v>
      </c>
      <c r="I35" s="4">
        <v>0.28000000000000003</v>
      </c>
      <c r="J35" s="1">
        <v>398.72727272727275</v>
      </c>
      <c r="K35" s="1">
        <f>SUMIF(D34:D109,"Confectionery",J34:J109)</f>
        <v>2225.818181818182</v>
      </c>
      <c r="L35" t="s">
        <v>40</v>
      </c>
    </row>
    <row r="36" spans="1:12" x14ac:dyDescent="0.3">
      <c r="A36" t="s">
        <v>70</v>
      </c>
      <c r="B36" t="s">
        <v>13</v>
      </c>
      <c r="C36" t="s">
        <v>28</v>
      </c>
      <c r="D36" t="s">
        <v>29</v>
      </c>
      <c r="E36" t="s">
        <v>15</v>
      </c>
      <c r="F36" s="3" t="s">
        <v>34</v>
      </c>
      <c r="G36" s="2">
        <v>756</v>
      </c>
      <c r="H36" s="2">
        <v>18.888888888888889</v>
      </c>
      <c r="I36" s="4">
        <v>0.2348961771119272</v>
      </c>
      <c r="J36" s="1">
        <v>366.1111111111112</v>
      </c>
      <c r="K36" s="1">
        <f>SUMIF(D31:D106,"Nutrition",J31:J106)</f>
        <v>3278.666666666667</v>
      </c>
      <c r="L36" t="s">
        <v>40</v>
      </c>
    </row>
    <row r="37" spans="1:12" x14ac:dyDescent="0.3">
      <c r="A37" t="s">
        <v>70</v>
      </c>
      <c r="B37" t="s">
        <v>13</v>
      </c>
      <c r="C37" t="s">
        <v>18</v>
      </c>
      <c r="D37" t="s">
        <v>19</v>
      </c>
      <c r="E37" t="s">
        <v>15</v>
      </c>
      <c r="F37" s="3" t="s">
        <v>34</v>
      </c>
      <c r="G37" s="2">
        <v>743.33333333333337</v>
      </c>
      <c r="H37" s="2">
        <v>84</v>
      </c>
      <c r="I37" s="4">
        <v>0.32425562139025438</v>
      </c>
      <c r="J37" s="1">
        <v>1203.086956521739</v>
      </c>
      <c r="K37" s="1">
        <f>SUMIF(D35:D110,"Beverages",J35:J110)</f>
        <v>7513.5217391304341</v>
      </c>
      <c r="L37" t="s">
        <v>40</v>
      </c>
    </row>
    <row r="38" spans="1:12" x14ac:dyDescent="0.3">
      <c r="A38" t="s">
        <v>71</v>
      </c>
      <c r="B38" t="s">
        <v>13</v>
      </c>
      <c r="C38" t="s">
        <v>36</v>
      </c>
      <c r="D38" t="s">
        <v>37</v>
      </c>
      <c r="E38" t="s">
        <v>15</v>
      </c>
      <c r="F38" s="3">
        <v>2021</v>
      </c>
      <c r="G38" s="2">
        <v>1026</v>
      </c>
      <c r="H38" s="2">
        <v>35.416666666666664</v>
      </c>
      <c r="I38" s="4">
        <v>0.21799452132415612</v>
      </c>
      <c r="J38" s="1">
        <v>491</v>
      </c>
      <c r="K38" s="1">
        <v>535</v>
      </c>
      <c r="L38" t="s">
        <v>40</v>
      </c>
    </row>
    <row r="39" spans="1:12" x14ac:dyDescent="0.3">
      <c r="A39" t="s">
        <v>72</v>
      </c>
      <c r="B39" t="s">
        <v>13</v>
      </c>
      <c r="C39" t="s">
        <v>36</v>
      </c>
      <c r="D39" t="s">
        <v>37</v>
      </c>
      <c r="E39" t="s">
        <v>23</v>
      </c>
      <c r="F39" s="3">
        <v>2019</v>
      </c>
      <c r="G39" s="2">
        <v>690</v>
      </c>
      <c r="H39" s="2">
        <v>35.416666666666664</v>
      </c>
      <c r="I39" s="4">
        <v>0.22142716938558088</v>
      </c>
      <c r="J39" s="1">
        <v>424.08333333333331</v>
      </c>
      <c r="K39" s="1">
        <f>SUMIF(D31:D106,"Food",J31:J106)</f>
        <v>2963.083333333333</v>
      </c>
      <c r="L39" t="s">
        <v>24</v>
      </c>
    </row>
    <row r="40" spans="1:12" x14ac:dyDescent="0.3">
      <c r="A40" t="s">
        <v>73</v>
      </c>
      <c r="B40" t="s">
        <v>13</v>
      </c>
      <c r="C40" t="s">
        <v>43</v>
      </c>
      <c r="D40" t="s">
        <v>19</v>
      </c>
      <c r="E40" t="s">
        <v>51</v>
      </c>
      <c r="F40" s="3" t="s">
        <v>34</v>
      </c>
      <c r="G40" s="2">
        <v>743.33333333333337</v>
      </c>
      <c r="H40" s="2">
        <v>84</v>
      </c>
      <c r="I40" s="4">
        <v>0.32425562139025438</v>
      </c>
      <c r="J40" s="1">
        <v>1119.086956521739</v>
      </c>
      <c r="K40" s="1">
        <f>SUMIF(D38:D113,"Beverages",J38:J113)</f>
        <v>6310.4347826086951</v>
      </c>
      <c r="L40" t="s">
        <v>24</v>
      </c>
    </row>
    <row r="41" spans="1:12" x14ac:dyDescent="0.3">
      <c r="A41" t="s">
        <v>74</v>
      </c>
      <c r="B41" t="s">
        <v>13</v>
      </c>
      <c r="C41" t="s">
        <v>28</v>
      </c>
      <c r="D41" t="s">
        <v>29</v>
      </c>
      <c r="E41" t="s">
        <v>51</v>
      </c>
      <c r="F41" s="3">
        <v>2019</v>
      </c>
      <c r="G41" s="2">
        <v>821</v>
      </c>
      <c r="H41" s="2">
        <v>27</v>
      </c>
      <c r="I41" s="4">
        <v>0.23654763359359035</v>
      </c>
      <c r="J41" s="1">
        <v>366.1111111111112</v>
      </c>
      <c r="K41" s="1">
        <f>SUMIF(D36:D111,"Nutrition",J36:J111)</f>
        <v>2893.6666666666665</v>
      </c>
      <c r="L41" t="s">
        <v>24</v>
      </c>
    </row>
    <row r="42" spans="1:12" x14ac:dyDescent="0.3">
      <c r="A42" t="s">
        <v>75</v>
      </c>
      <c r="B42" t="s">
        <v>13</v>
      </c>
      <c r="C42" t="s">
        <v>36</v>
      </c>
      <c r="D42" t="s">
        <v>37</v>
      </c>
      <c r="E42" t="s">
        <v>26</v>
      </c>
      <c r="F42" s="3">
        <v>2021</v>
      </c>
      <c r="G42" s="2">
        <v>971.55555555555554</v>
      </c>
      <c r="H42" s="2">
        <v>35.416666666666664</v>
      </c>
      <c r="I42" s="4">
        <v>0.22875173607812627</v>
      </c>
      <c r="J42" s="1">
        <v>332.08333333333331</v>
      </c>
      <c r="K42" s="1">
        <f>SUMIF(D34:D109,"Food",J34:J109)</f>
        <v>2472.9999999999995</v>
      </c>
      <c r="L42" t="s">
        <v>31</v>
      </c>
    </row>
    <row r="43" spans="1:12" x14ac:dyDescent="0.3">
      <c r="A43" t="s">
        <v>76</v>
      </c>
      <c r="B43" t="s">
        <v>13</v>
      </c>
      <c r="C43" t="s">
        <v>36</v>
      </c>
      <c r="D43" t="s">
        <v>37</v>
      </c>
      <c r="E43" t="s">
        <v>108</v>
      </c>
      <c r="F43" s="3">
        <v>2022</v>
      </c>
      <c r="G43" s="2">
        <v>1263</v>
      </c>
      <c r="H43" s="2">
        <v>35.416666666666664</v>
      </c>
      <c r="I43" s="4">
        <v>0.23303641978081405</v>
      </c>
      <c r="J43" s="1">
        <v>542</v>
      </c>
      <c r="K43" s="1">
        <v>721</v>
      </c>
      <c r="L43" t="s">
        <v>109</v>
      </c>
    </row>
    <row r="44" spans="1:12" x14ac:dyDescent="0.3">
      <c r="A44" t="s">
        <v>77</v>
      </c>
      <c r="B44" t="s">
        <v>13</v>
      </c>
      <c r="C44" t="s">
        <v>28</v>
      </c>
      <c r="D44" t="s">
        <v>29</v>
      </c>
      <c r="E44" t="s">
        <v>26</v>
      </c>
      <c r="F44" s="3">
        <v>2020</v>
      </c>
      <c r="G44" s="2">
        <v>756</v>
      </c>
      <c r="H44" s="2">
        <v>18.888888888888889</v>
      </c>
      <c r="I44" s="4">
        <v>0.23157646785976344</v>
      </c>
      <c r="J44" s="1">
        <v>776</v>
      </c>
      <c r="K44" s="1">
        <f>SUMIF(D39:D114,"Nutrition",J39:J114)</f>
        <v>2527.5555555555557</v>
      </c>
      <c r="L44" t="s">
        <v>31</v>
      </c>
    </row>
    <row r="45" spans="1:12" x14ac:dyDescent="0.3">
      <c r="A45" t="s">
        <v>77</v>
      </c>
      <c r="B45" t="s">
        <v>13</v>
      </c>
      <c r="C45" t="s">
        <v>21</v>
      </c>
      <c r="D45" t="s">
        <v>22</v>
      </c>
      <c r="E45" t="s">
        <v>48</v>
      </c>
      <c r="F45" s="3">
        <v>2019</v>
      </c>
      <c r="G45" s="2">
        <v>657.66666666666663</v>
      </c>
      <c r="H45" s="2">
        <v>29.454545454545453</v>
      </c>
      <c r="I45" s="4">
        <v>0.23899648788487582</v>
      </c>
      <c r="J45" s="1">
        <v>368.81818181818181</v>
      </c>
      <c r="K45" s="1">
        <f>SUMIF(D42:D117,"Pet Food",J42:J117)</f>
        <v>1653.4545454545455</v>
      </c>
      <c r="L45" t="s">
        <v>31</v>
      </c>
    </row>
    <row r="46" spans="1:12" x14ac:dyDescent="0.3">
      <c r="A46" t="s">
        <v>78</v>
      </c>
      <c r="B46" t="s">
        <v>13</v>
      </c>
      <c r="C46" t="s">
        <v>43</v>
      </c>
      <c r="D46" t="s">
        <v>19</v>
      </c>
      <c r="E46" t="s">
        <v>108</v>
      </c>
      <c r="F46" s="3" t="s">
        <v>34</v>
      </c>
      <c r="G46" s="2">
        <v>1378</v>
      </c>
      <c r="H46" s="2">
        <v>42</v>
      </c>
      <c r="I46" s="4">
        <v>0.32425562139025438</v>
      </c>
      <c r="J46" s="1">
        <v>711</v>
      </c>
      <c r="K46" s="1">
        <v>667</v>
      </c>
      <c r="L46" t="s">
        <v>109</v>
      </c>
    </row>
    <row r="47" spans="1:12" x14ac:dyDescent="0.3">
      <c r="A47" t="s">
        <v>79</v>
      </c>
      <c r="B47" t="s">
        <v>13</v>
      </c>
      <c r="C47" t="s">
        <v>14</v>
      </c>
      <c r="D47" t="s">
        <v>33</v>
      </c>
      <c r="E47" t="s">
        <v>39</v>
      </c>
      <c r="F47" s="3">
        <v>2020</v>
      </c>
      <c r="G47" s="2">
        <v>332</v>
      </c>
      <c r="H47" s="2">
        <v>39.18181818181818</v>
      </c>
      <c r="I47" s="4">
        <v>0.38</v>
      </c>
      <c r="J47" s="1">
        <v>880</v>
      </c>
      <c r="K47" s="1">
        <f>SUMIF(D46:D121,"Confectionery",J46:J121)</f>
        <v>1827.0909090909095</v>
      </c>
      <c r="L47" t="s">
        <v>16</v>
      </c>
    </row>
    <row r="48" spans="1:12" x14ac:dyDescent="0.3">
      <c r="A48" t="s">
        <v>80</v>
      </c>
      <c r="B48" t="s">
        <v>13</v>
      </c>
      <c r="C48" t="s">
        <v>21</v>
      </c>
      <c r="D48" t="s">
        <v>22</v>
      </c>
      <c r="E48" t="s">
        <v>48</v>
      </c>
      <c r="F48" s="3">
        <v>2019</v>
      </c>
      <c r="G48" s="2">
        <v>411</v>
      </c>
      <c r="H48" s="2">
        <v>29.454545454545453</v>
      </c>
      <c r="I48" s="4">
        <v>0.31019852916866486</v>
      </c>
      <c r="J48" s="1">
        <v>304.81818181818181</v>
      </c>
      <c r="K48" s="1">
        <f>SUMIF(D45:D120,"Pet Food",J45:J120)</f>
        <v>1653.4545454545455</v>
      </c>
      <c r="L48" t="s">
        <v>31</v>
      </c>
    </row>
    <row r="49" spans="1:12" x14ac:dyDescent="0.3">
      <c r="A49" t="s">
        <v>81</v>
      </c>
      <c r="B49" t="s">
        <v>13</v>
      </c>
      <c r="C49" t="s">
        <v>14</v>
      </c>
      <c r="D49" t="s">
        <v>33</v>
      </c>
      <c r="E49" t="s">
        <v>51</v>
      </c>
      <c r="F49" s="3" t="s">
        <v>34</v>
      </c>
      <c r="G49" s="2">
        <v>332</v>
      </c>
      <c r="H49" s="2">
        <v>104</v>
      </c>
      <c r="I49" s="4">
        <v>0.49</v>
      </c>
      <c r="J49" s="1">
        <v>320.36363636363637</v>
      </c>
      <c r="K49" s="1">
        <f>SUMIF(D48:D123,"Confectionery",J48:J123)</f>
        <v>947.09090909090924</v>
      </c>
      <c r="L49" t="s">
        <v>24</v>
      </c>
    </row>
    <row r="50" spans="1:12" x14ac:dyDescent="0.3">
      <c r="A50" t="s">
        <v>82</v>
      </c>
      <c r="B50" t="s">
        <v>13</v>
      </c>
      <c r="C50" t="s">
        <v>28</v>
      </c>
      <c r="D50" t="s">
        <v>29</v>
      </c>
      <c r="E50" t="s">
        <v>48</v>
      </c>
      <c r="F50" s="3">
        <v>2023</v>
      </c>
      <c r="G50" s="2">
        <v>756</v>
      </c>
      <c r="H50" s="2">
        <v>104</v>
      </c>
      <c r="I50" s="4">
        <v>0.22</v>
      </c>
      <c r="J50" s="1">
        <v>117</v>
      </c>
      <c r="K50" s="1">
        <f>SUMIF(D45:D120,"Nutrition",J45:J120)</f>
        <v>1385.4444444444448</v>
      </c>
      <c r="L50" t="s">
        <v>31</v>
      </c>
    </row>
    <row r="51" spans="1:12" x14ac:dyDescent="0.3">
      <c r="A51" t="s">
        <v>83</v>
      </c>
      <c r="B51" t="s">
        <v>13</v>
      </c>
      <c r="C51" t="s">
        <v>28</v>
      </c>
      <c r="D51" t="s">
        <v>29</v>
      </c>
      <c r="E51" t="s">
        <v>39</v>
      </c>
      <c r="F51" s="3">
        <v>2019</v>
      </c>
      <c r="G51" s="2">
        <v>756</v>
      </c>
      <c r="H51" s="2">
        <v>33</v>
      </c>
      <c r="I51" s="4">
        <v>0.22349827095407154</v>
      </c>
      <c r="J51" s="1">
        <v>301.33333333333337</v>
      </c>
      <c r="K51" s="1">
        <f>SUMIF(D46:D121,"Nutrition",J46:J121)</f>
        <v>1385.4444444444448</v>
      </c>
      <c r="L51" t="s">
        <v>16</v>
      </c>
    </row>
    <row r="52" spans="1:12" x14ac:dyDescent="0.3">
      <c r="A52" t="s">
        <v>84</v>
      </c>
      <c r="B52" t="s">
        <v>13</v>
      </c>
      <c r="C52" t="s">
        <v>18</v>
      </c>
      <c r="D52" t="s">
        <v>19</v>
      </c>
      <c r="E52" t="s">
        <v>48</v>
      </c>
      <c r="F52" s="3">
        <v>2020</v>
      </c>
      <c r="G52" s="2">
        <v>743.33333333333337</v>
      </c>
      <c r="H52" s="2">
        <v>87</v>
      </c>
      <c r="I52" s="4">
        <v>0.32425562139025438</v>
      </c>
      <c r="J52" s="1">
        <v>819.08695652173913</v>
      </c>
      <c r="K52" s="1">
        <f>SUMIF(D50:D125,"Beverages",J50:J125)</f>
        <v>4480.347826086956</v>
      </c>
      <c r="L52" t="s">
        <v>31</v>
      </c>
    </row>
    <row r="53" spans="1:12" x14ac:dyDescent="0.3">
      <c r="A53" t="s">
        <v>85</v>
      </c>
      <c r="B53" t="s">
        <v>13</v>
      </c>
      <c r="C53" t="s">
        <v>43</v>
      </c>
      <c r="D53" t="s">
        <v>19</v>
      </c>
      <c r="E53" t="s">
        <v>26</v>
      </c>
      <c r="F53" s="3">
        <v>2021</v>
      </c>
      <c r="G53" s="2">
        <v>743.33333333333337</v>
      </c>
      <c r="H53" s="2">
        <v>109</v>
      </c>
      <c r="I53" s="4">
        <v>0.32425562139025438</v>
      </c>
      <c r="J53" s="1">
        <v>777.08695652173913</v>
      </c>
      <c r="K53" s="1">
        <f>SUMIF(D51:D126,"Beverages",J51:J126)</f>
        <v>4480.347826086956</v>
      </c>
      <c r="L53" t="s">
        <v>31</v>
      </c>
    </row>
    <row r="54" spans="1:12" x14ac:dyDescent="0.3">
      <c r="A54" t="s">
        <v>86</v>
      </c>
      <c r="B54" t="s">
        <v>13</v>
      </c>
      <c r="C54" t="s">
        <v>28</v>
      </c>
      <c r="D54" t="s">
        <v>29</v>
      </c>
      <c r="E54" t="s">
        <v>15</v>
      </c>
      <c r="F54" s="3">
        <v>2020</v>
      </c>
      <c r="G54" s="2">
        <v>756</v>
      </c>
      <c r="H54" s="2">
        <v>18.888888888888889</v>
      </c>
      <c r="I54" s="4">
        <v>0.24334241281883948</v>
      </c>
      <c r="J54" s="1">
        <v>282.44444444444446</v>
      </c>
      <c r="K54" s="1">
        <f>SUMIF(D49:D124,"Nutrition",J49:J124)</f>
        <v>1385.4444444444448</v>
      </c>
      <c r="L54" t="s">
        <v>40</v>
      </c>
    </row>
    <row r="55" spans="1:12" x14ac:dyDescent="0.3">
      <c r="A55" t="s">
        <v>87</v>
      </c>
      <c r="B55" t="s">
        <v>13</v>
      </c>
      <c r="C55" t="s">
        <v>18</v>
      </c>
      <c r="D55" t="s">
        <v>19</v>
      </c>
      <c r="E55" t="s">
        <v>26</v>
      </c>
      <c r="F55" s="3">
        <v>2020</v>
      </c>
      <c r="G55" s="2">
        <v>743.33333333333337</v>
      </c>
      <c r="H55" s="2">
        <v>72.086956521739125</v>
      </c>
      <c r="I55" s="4">
        <v>0.32425562139025438</v>
      </c>
      <c r="J55" s="1">
        <v>402</v>
      </c>
      <c r="K55" s="1">
        <f>SUMIF(D53:D128,"Beverages",J53:J128)</f>
        <v>3661.260869565217</v>
      </c>
      <c r="L55" t="s">
        <v>31</v>
      </c>
    </row>
    <row r="56" spans="1:12" x14ac:dyDescent="0.3">
      <c r="A56" t="s">
        <v>88</v>
      </c>
      <c r="B56" t="s">
        <v>13</v>
      </c>
      <c r="C56" t="s">
        <v>43</v>
      </c>
      <c r="D56" t="s">
        <v>19</v>
      </c>
      <c r="E56" t="s">
        <v>66</v>
      </c>
      <c r="F56" s="3" t="s">
        <v>34</v>
      </c>
      <c r="G56" s="2">
        <v>743.33333333333337</v>
      </c>
      <c r="H56" s="2">
        <v>84</v>
      </c>
      <c r="I56" s="4">
        <v>0.16</v>
      </c>
      <c r="J56" s="1">
        <v>140</v>
      </c>
      <c r="K56" s="1">
        <v>352</v>
      </c>
      <c r="L56" t="s">
        <v>24</v>
      </c>
    </row>
    <row r="57" spans="1:12" x14ac:dyDescent="0.3">
      <c r="A57" t="s">
        <v>89</v>
      </c>
      <c r="B57" t="s">
        <v>13</v>
      </c>
      <c r="C57" t="s">
        <v>43</v>
      </c>
      <c r="D57" t="s">
        <v>19</v>
      </c>
      <c r="E57" t="s">
        <v>23</v>
      </c>
      <c r="F57" s="3">
        <v>2022</v>
      </c>
      <c r="G57" s="2">
        <v>743.33333333333337</v>
      </c>
      <c r="H57" s="2">
        <v>30</v>
      </c>
      <c r="I57" s="4">
        <v>0.18</v>
      </c>
      <c r="J57" s="1">
        <v>581.08695652173913</v>
      </c>
      <c r="K57" s="1">
        <f>SUMIF(D55:D130,"Beverages",J55:J130)</f>
        <v>2884.173913043478</v>
      </c>
      <c r="L57" t="s">
        <v>24</v>
      </c>
    </row>
    <row r="58" spans="1:12" x14ac:dyDescent="0.3">
      <c r="A58" t="s">
        <v>89</v>
      </c>
      <c r="B58" t="s">
        <v>46</v>
      </c>
      <c r="C58" t="s">
        <v>21</v>
      </c>
      <c r="D58" t="s">
        <v>22</v>
      </c>
      <c r="E58" t="s">
        <v>51</v>
      </c>
      <c r="F58" s="3">
        <v>2022</v>
      </c>
      <c r="G58" s="2">
        <v>657.66666666666663</v>
      </c>
      <c r="H58" s="2">
        <v>29.454545454545453</v>
      </c>
      <c r="I58" s="4">
        <v>0.3</v>
      </c>
      <c r="J58" s="1">
        <v>275.36363636363637</v>
      </c>
      <c r="K58" s="1">
        <f>SUMIF(D55:D130,"Pet Food",J55:J130)</f>
        <v>979.81818181818176</v>
      </c>
      <c r="L58" t="s">
        <v>24</v>
      </c>
    </row>
    <row r="59" spans="1:12" x14ac:dyDescent="0.3">
      <c r="A59" t="s">
        <v>90</v>
      </c>
      <c r="B59" t="s">
        <v>13</v>
      </c>
      <c r="C59" t="s">
        <v>43</v>
      </c>
      <c r="D59" t="s">
        <v>19</v>
      </c>
      <c r="E59" t="s">
        <v>51</v>
      </c>
      <c r="F59" s="3">
        <v>2022</v>
      </c>
      <c r="G59" s="2">
        <v>743.33333333333337</v>
      </c>
      <c r="H59" s="2">
        <v>84</v>
      </c>
      <c r="I59" s="4">
        <v>0.32425562139025438</v>
      </c>
      <c r="J59" s="1">
        <v>777.08695652173913</v>
      </c>
      <c r="K59" s="1">
        <f>SUMIF(D57:D132,"Beverages",J57:J132)</f>
        <v>2342.173913043478</v>
      </c>
      <c r="L59" t="s">
        <v>24</v>
      </c>
    </row>
    <row r="60" spans="1:12" x14ac:dyDescent="0.3">
      <c r="A60" t="s">
        <v>91</v>
      </c>
      <c r="B60" t="s">
        <v>13</v>
      </c>
      <c r="C60" t="s">
        <v>28</v>
      </c>
      <c r="D60" t="s">
        <v>29</v>
      </c>
      <c r="E60" t="s">
        <v>26</v>
      </c>
      <c r="F60" s="3" t="s">
        <v>34</v>
      </c>
      <c r="G60" s="2">
        <v>756</v>
      </c>
      <c r="H60" s="2">
        <v>18.888888888888889</v>
      </c>
      <c r="I60" s="4">
        <v>0.17902699426944793</v>
      </c>
      <c r="J60" s="1">
        <v>178.44444444444443</v>
      </c>
      <c r="K60" s="1">
        <f>SUMIF(D55:D130,"Nutrition",J55:J130)</f>
        <v>684.66666666666663</v>
      </c>
      <c r="L60" t="s">
        <v>31</v>
      </c>
    </row>
    <row r="61" spans="1:12" x14ac:dyDescent="0.3">
      <c r="A61" t="s">
        <v>92</v>
      </c>
      <c r="B61" t="s">
        <v>13</v>
      </c>
      <c r="C61" t="s">
        <v>43</v>
      </c>
      <c r="D61" t="s">
        <v>19</v>
      </c>
      <c r="E61" t="s">
        <v>39</v>
      </c>
      <c r="F61" s="3">
        <v>2023</v>
      </c>
      <c r="G61" s="2">
        <v>743.33333333333337</v>
      </c>
      <c r="H61" s="2">
        <v>108</v>
      </c>
      <c r="I61" s="4">
        <v>0.32425562139025438</v>
      </c>
      <c r="J61" s="1">
        <v>395</v>
      </c>
      <c r="K61" s="1">
        <f>SUMIF(D59:D134,"Beverages",J59:J134)</f>
        <v>1761.086956521739</v>
      </c>
      <c r="L61" t="s">
        <v>16</v>
      </c>
    </row>
    <row r="62" spans="1:12" x14ac:dyDescent="0.3">
      <c r="A62" t="s">
        <v>93</v>
      </c>
      <c r="B62" t="s">
        <v>13</v>
      </c>
      <c r="C62" t="s">
        <v>14</v>
      </c>
      <c r="D62" t="s">
        <v>33</v>
      </c>
      <c r="E62" t="s">
        <v>48</v>
      </c>
      <c r="F62" s="3">
        <v>2022</v>
      </c>
      <c r="G62" s="2">
        <v>332</v>
      </c>
      <c r="H62" s="2">
        <v>39.18181818181818</v>
      </c>
      <c r="I62" s="4">
        <v>8.6152742981536259E-2</v>
      </c>
      <c r="J62" s="1">
        <v>216.36363636363637</v>
      </c>
      <c r="K62" s="1">
        <f>SUMIF(D61:D136,"Confectionery",J61:J136)</f>
        <v>626.72727272727275</v>
      </c>
      <c r="L62" t="s">
        <v>31</v>
      </c>
    </row>
    <row r="63" spans="1:12" x14ac:dyDescent="0.3">
      <c r="A63" t="s">
        <v>94</v>
      </c>
      <c r="B63" t="s">
        <v>13</v>
      </c>
      <c r="C63" t="s">
        <v>28</v>
      </c>
      <c r="D63" t="s">
        <v>29</v>
      </c>
      <c r="E63" t="s">
        <v>15</v>
      </c>
      <c r="F63" s="3">
        <v>2019</v>
      </c>
      <c r="G63" s="2">
        <v>756</v>
      </c>
      <c r="H63" s="2">
        <v>18.888888888888889</v>
      </c>
      <c r="I63" s="4">
        <v>0.20174734150112017</v>
      </c>
      <c r="J63" s="1">
        <v>145.44444444444446</v>
      </c>
      <c r="K63" s="1">
        <f>SUMIF(D58:D133,"Nutrition",J58:J133)</f>
        <v>684.66666666666663</v>
      </c>
      <c r="L63" t="s">
        <v>40</v>
      </c>
    </row>
    <row r="64" spans="1:12" x14ac:dyDescent="0.3">
      <c r="A64" t="s">
        <v>95</v>
      </c>
      <c r="B64" t="s">
        <v>46</v>
      </c>
      <c r="C64" t="s">
        <v>14</v>
      </c>
      <c r="D64" t="s">
        <v>33</v>
      </c>
      <c r="E64" t="s">
        <v>26</v>
      </c>
      <c r="F64" s="3" t="s">
        <v>34</v>
      </c>
      <c r="G64" s="2">
        <v>332</v>
      </c>
      <c r="H64" s="2">
        <v>41</v>
      </c>
      <c r="I64" s="4">
        <v>6.9460185351141637E-2</v>
      </c>
      <c r="J64" s="1">
        <v>177.18181818181819</v>
      </c>
      <c r="K64" s="1">
        <f>SUMIF(D63:D138,"Confectionery",J63:J138)</f>
        <v>410.36363636363637</v>
      </c>
      <c r="L64" t="s">
        <v>31</v>
      </c>
    </row>
    <row r="65" spans="1:12" x14ac:dyDescent="0.3">
      <c r="A65" t="s">
        <v>96</v>
      </c>
      <c r="B65" t="s">
        <v>13</v>
      </c>
      <c r="C65" t="s">
        <v>28</v>
      </c>
      <c r="D65" t="s">
        <v>29</v>
      </c>
      <c r="E65" t="s">
        <v>48</v>
      </c>
      <c r="F65" s="3">
        <v>2021</v>
      </c>
      <c r="G65" s="2">
        <v>756</v>
      </c>
      <c r="H65" s="2">
        <v>18.888888888888889</v>
      </c>
      <c r="I65" s="4">
        <v>0.21922659823319757</v>
      </c>
      <c r="J65" s="1">
        <v>126.55555555555556</v>
      </c>
      <c r="K65" s="1">
        <f>SUMIF(D60:D135,"Nutrition",J60:J135)</f>
        <v>684.66666666666663</v>
      </c>
      <c r="L65" t="s">
        <v>31</v>
      </c>
    </row>
    <row r="66" spans="1:12" x14ac:dyDescent="0.3">
      <c r="A66" t="s">
        <v>97</v>
      </c>
      <c r="B66" t="s">
        <v>13</v>
      </c>
      <c r="C66" t="s">
        <v>36</v>
      </c>
      <c r="D66" t="s">
        <v>37</v>
      </c>
      <c r="E66" t="s">
        <v>66</v>
      </c>
      <c r="F66" s="3" t="s">
        <v>34</v>
      </c>
      <c r="G66" s="2">
        <v>1275</v>
      </c>
      <c r="H66" s="2">
        <v>47</v>
      </c>
      <c r="I66" s="4">
        <v>0.1712503970880144</v>
      </c>
      <c r="J66" s="1">
        <v>303</v>
      </c>
      <c r="K66" s="1">
        <v>972</v>
      </c>
      <c r="L66" t="s">
        <v>24</v>
      </c>
    </row>
    <row r="67" spans="1:12" x14ac:dyDescent="0.3">
      <c r="A67" t="s">
        <v>98</v>
      </c>
      <c r="B67" t="s">
        <v>13</v>
      </c>
      <c r="C67" t="s">
        <v>28</v>
      </c>
      <c r="D67" t="s">
        <v>29</v>
      </c>
      <c r="E67" t="s">
        <v>51</v>
      </c>
      <c r="F67" s="3">
        <v>2021</v>
      </c>
      <c r="G67" s="2">
        <v>756</v>
      </c>
      <c r="H67" s="2">
        <v>51</v>
      </c>
      <c r="I67" s="4">
        <v>0.43</v>
      </c>
      <c r="J67" s="1">
        <v>126.55555555555556</v>
      </c>
      <c r="K67" s="1">
        <f>SUMIF(D62:D137,"Nutrition",J62:J137)</f>
        <v>506.22222222222217</v>
      </c>
      <c r="L67" t="s">
        <v>24</v>
      </c>
    </row>
    <row r="68" spans="1:12" x14ac:dyDescent="0.3">
      <c r="A68" t="s">
        <v>99</v>
      </c>
      <c r="B68" t="s">
        <v>13</v>
      </c>
      <c r="C68" t="s">
        <v>43</v>
      </c>
      <c r="D68" t="s">
        <v>19</v>
      </c>
      <c r="E68" t="s">
        <v>66</v>
      </c>
      <c r="F68" s="3">
        <v>2022</v>
      </c>
      <c r="G68" s="2">
        <v>743.33333333333337</v>
      </c>
      <c r="H68" s="2">
        <v>84</v>
      </c>
      <c r="I68" s="4">
        <v>0.41</v>
      </c>
      <c r="J68" s="1">
        <v>425</v>
      </c>
      <c r="K68" s="1">
        <f>SUMIF(D66:D141,"Beverages",J66:J141)</f>
        <v>589</v>
      </c>
      <c r="L68" t="s">
        <v>24</v>
      </c>
    </row>
    <row r="69" spans="1:12" x14ac:dyDescent="0.3">
      <c r="A69" t="s">
        <v>100</v>
      </c>
      <c r="B69" t="s">
        <v>13</v>
      </c>
      <c r="C69" t="s">
        <v>21</v>
      </c>
      <c r="D69" t="s">
        <v>22</v>
      </c>
      <c r="E69" t="s">
        <v>48</v>
      </c>
      <c r="F69" s="3" t="s">
        <v>34</v>
      </c>
      <c r="G69" s="2">
        <v>709</v>
      </c>
      <c r="H69" s="2">
        <v>113</v>
      </c>
      <c r="I69" s="4">
        <v>0.18</v>
      </c>
      <c r="J69" s="1">
        <v>488</v>
      </c>
      <c r="K69" s="1">
        <v>221</v>
      </c>
      <c r="L69" t="s">
        <v>31</v>
      </c>
    </row>
    <row r="70" spans="1:12" x14ac:dyDescent="0.3">
      <c r="A70" t="s">
        <v>101</v>
      </c>
      <c r="B70" t="s">
        <v>13</v>
      </c>
      <c r="C70" t="s">
        <v>36</v>
      </c>
      <c r="D70" t="s">
        <v>37</v>
      </c>
      <c r="E70" t="s">
        <v>109</v>
      </c>
      <c r="F70" s="3">
        <v>2020</v>
      </c>
      <c r="G70" s="2">
        <v>1279</v>
      </c>
      <c r="H70" s="2">
        <v>35.416666666666664</v>
      </c>
      <c r="I70" s="4">
        <v>0.19623024773940118</v>
      </c>
      <c r="J70" s="1">
        <v>190.41666666666666</v>
      </c>
      <c r="K70" s="1">
        <f>SUMIF(D62:D137,"Food",J62:J137)</f>
        <v>683.83333333333326</v>
      </c>
      <c r="L70" t="s">
        <v>109</v>
      </c>
    </row>
    <row r="71" spans="1:12" x14ac:dyDescent="0.3">
      <c r="A71" t="s">
        <v>102</v>
      </c>
      <c r="B71" t="s">
        <v>13</v>
      </c>
      <c r="C71" t="s">
        <v>21</v>
      </c>
      <c r="D71" t="s">
        <v>22</v>
      </c>
      <c r="E71" t="s">
        <v>26</v>
      </c>
      <c r="F71" s="3">
        <v>2021</v>
      </c>
      <c r="G71" s="2">
        <v>853</v>
      </c>
      <c r="H71" s="2">
        <v>74</v>
      </c>
      <c r="I71" s="4">
        <v>7.6468199873869949E-2</v>
      </c>
      <c r="J71" s="1">
        <v>216.45454545454544</v>
      </c>
      <c r="K71" s="1">
        <f>SUMIF(D68:D143,"Pet Food",J68:J143)</f>
        <v>704.4545454545455</v>
      </c>
      <c r="L71" t="s">
        <v>31</v>
      </c>
    </row>
    <row r="72" spans="1:12" x14ac:dyDescent="0.3">
      <c r="A72" t="s">
        <v>103</v>
      </c>
      <c r="B72" t="s">
        <v>13</v>
      </c>
      <c r="C72" t="s">
        <v>28</v>
      </c>
      <c r="D72" t="s">
        <v>29</v>
      </c>
      <c r="E72" t="s">
        <v>48</v>
      </c>
      <c r="F72" s="3" t="s">
        <v>34</v>
      </c>
      <c r="G72" s="2">
        <v>521</v>
      </c>
      <c r="H72" s="2">
        <v>18.888888888888889</v>
      </c>
      <c r="I72" s="4">
        <v>0.19</v>
      </c>
      <c r="J72" s="1">
        <v>107.66666666666666</v>
      </c>
      <c r="K72" s="1">
        <f>SUMIF(D67:D142,"Nutrition",J67:J142)</f>
        <v>234.22222222222223</v>
      </c>
      <c r="L72" t="s">
        <v>31</v>
      </c>
    </row>
    <row r="73" spans="1:12" x14ac:dyDescent="0.3">
      <c r="A73" t="s">
        <v>104</v>
      </c>
      <c r="B73" t="s">
        <v>13</v>
      </c>
      <c r="C73" t="s">
        <v>14</v>
      </c>
      <c r="D73" t="s">
        <v>33</v>
      </c>
      <c r="E73" t="s">
        <v>39</v>
      </c>
      <c r="F73" s="3">
        <v>2020</v>
      </c>
      <c r="G73" s="2">
        <v>332</v>
      </c>
      <c r="H73" s="2">
        <v>39.18181818181818</v>
      </c>
      <c r="I73" s="4">
        <v>9.6514203137090776E-2</v>
      </c>
      <c r="J73" s="1">
        <v>136.18181818181819</v>
      </c>
      <c r="K73" s="1">
        <f>SUMIF(D72:D147,"Confectionery",J72:J147)</f>
        <v>233.18181818181819</v>
      </c>
      <c r="L73" t="s">
        <v>16</v>
      </c>
    </row>
    <row r="74" spans="1:12" x14ac:dyDescent="0.3">
      <c r="A74" t="s">
        <v>105</v>
      </c>
      <c r="B74" t="s">
        <v>46</v>
      </c>
      <c r="C74" t="s">
        <v>36</v>
      </c>
      <c r="D74" t="s">
        <v>37</v>
      </c>
      <c r="E74" t="s">
        <v>48</v>
      </c>
      <c r="F74" s="3">
        <v>2021</v>
      </c>
      <c r="G74" s="2">
        <v>1480</v>
      </c>
      <c r="H74" s="2">
        <v>108</v>
      </c>
      <c r="I74" s="4">
        <v>0.2295765234458445</v>
      </c>
      <c r="J74" s="1">
        <v>190.41666666666666</v>
      </c>
      <c r="K74" s="1">
        <f>SUMIF(D66:D141,"Food",J66:J141)</f>
        <v>683.83333333333326</v>
      </c>
      <c r="L74" t="s">
        <v>31</v>
      </c>
    </row>
    <row r="75" spans="1:12" x14ac:dyDescent="0.3">
      <c r="A75" t="s">
        <v>106</v>
      </c>
      <c r="B75" t="s">
        <v>13</v>
      </c>
      <c r="C75" t="s">
        <v>43</v>
      </c>
      <c r="D75" t="s">
        <v>19</v>
      </c>
      <c r="E75" t="s">
        <v>110</v>
      </c>
      <c r="F75" s="3">
        <v>2021</v>
      </c>
      <c r="G75" s="2">
        <v>743.33333333333337</v>
      </c>
      <c r="H75" s="2">
        <v>119</v>
      </c>
      <c r="I75" s="4">
        <v>0.28000000000000003</v>
      </c>
      <c r="J75" s="1">
        <v>164</v>
      </c>
      <c r="K75" s="1">
        <f>SUMIF(D73:D148,"Beverages",J73:J148)</f>
        <v>164</v>
      </c>
      <c r="L75" t="s">
        <v>109</v>
      </c>
    </row>
    <row r="76" spans="1:12" x14ac:dyDescent="0.3">
      <c r="A76" t="s">
        <v>107</v>
      </c>
      <c r="B76" t="s">
        <v>13</v>
      </c>
      <c r="C76" t="s">
        <v>14</v>
      </c>
      <c r="D76" t="s">
        <v>33</v>
      </c>
      <c r="E76" t="s">
        <v>39</v>
      </c>
      <c r="F76" s="3">
        <v>2021</v>
      </c>
      <c r="G76" s="2">
        <v>332</v>
      </c>
      <c r="H76" s="2">
        <v>97</v>
      </c>
      <c r="I76" s="4">
        <v>7.3018122782729553E-2</v>
      </c>
      <c r="J76" s="1">
        <v>97</v>
      </c>
      <c r="K76" s="1">
        <f>SUMIF(D75:D150,"Confectionery",J75:J150)</f>
        <v>97</v>
      </c>
      <c r="L76" t="s">
        <v>16</v>
      </c>
    </row>
    <row r="88" spans="7:12" x14ac:dyDescent="0.3">
      <c r="L88" t="s">
        <v>111</v>
      </c>
    </row>
    <row r="89" spans="7:12" x14ac:dyDescent="0.3">
      <c r="G89" s="2" t="s">
        <v>112</v>
      </c>
      <c r="H89" s="2" t="s">
        <v>117</v>
      </c>
      <c r="I89" s="4" t="s">
        <v>122</v>
      </c>
      <c r="J89" s="1" t="s">
        <v>127</v>
      </c>
      <c r="K89" s="1" t="s">
        <v>132</v>
      </c>
    </row>
    <row r="90" spans="7:12" x14ac:dyDescent="0.3">
      <c r="G90" s="2">
        <f>AVERAGEIF(D:D,"Beverages",G:G)</f>
        <v>754.2608695652176</v>
      </c>
      <c r="H90" s="2">
        <f>AVERAGEIF(D:D,"Beverages",H:H)</f>
        <v>80.971644612476368</v>
      </c>
      <c r="I90" s="4">
        <f>SUMIF(D1:D87,"Beverages",G1:G87)/SUM(G1:G87)</f>
        <v>0.32425562139025438</v>
      </c>
      <c r="J90" s="1">
        <f>SUMIF(D1:D76,"Beverages",H1:H76)</f>
        <v>1862.3478260869565</v>
      </c>
      <c r="K90" s="1">
        <f>SUMIF(D1:D76,"Beverages",J1:J76)</f>
        <v>21563.4347826087</v>
      </c>
    </row>
    <row r="91" spans="7:12" x14ac:dyDescent="0.3">
      <c r="G91" s="2" t="s">
        <v>113</v>
      </c>
      <c r="H91" s="2" t="s">
        <v>118</v>
      </c>
      <c r="I91" s="4" t="s">
        <v>123</v>
      </c>
      <c r="J91" s="1" t="s">
        <v>128</v>
      </c>
      <c r="K91" s="1" t="s">
        <v>133</v>
      </c>
    </row>
    <row r="92" spans="7:12" x14ac:dyDescent="0.3">
      <c r="G92" s="2">
        <f>AVERAGEIF(D:D,"Confectionery",G:G)</f>
        <v>332</v>
      </c>
      <c r="H92" s="2">
        <f>AVERAGEIF(D:D,"Confectionery",H:H)</f>
        <v>60.553719008264466</v>
      </c>
      <c r="I92" s="4">
        <f>SUMIF(D1:D87,"Confectionery",G1:G87)/SUM(G1:G87)</f>
        <v>6.8260406347544891E-2</v>
      </c>
      <c r="J92" s="1">
        <f>SUMIF(D1:D76,"Confectionery",H1:H76)</f>
        <v>666.09090909090912</v>
      </c>
      <c r="K92" s="1">
        <f>SUMIF(D1:D76,"Confectionery",J1:J76)</f>
        <v>4647.272727272727</v>
      </c>
    </row>
    <row r="93" spans="7:12" x14ac:dyDescent="0.3">
      <c r="G93" s="2" t="s">
        <v>114</v>
      </c>
      <c r="H93" s="2" t="s">
        <v>120</v>
      </c>
      <c r="I93" s="4" t="s">
        <v>124</v>
      </c>
      <c r="J93" s="1" t="s">
        <v>129</v>
      </c>
      <c r="K93" s="1" t="s">
        <v>134</v>
      </c>
    </row>
    <row r="94" spans="7:12" x14ac:dyDescent="0.3">
      <c r="G94" s="2">
        <f>AVERAGEIF(D:D,"Nutrition",G:G)</f>
        <v>756</v>
      </c>
      <c r="H94" s="2">
        <f>AVERAGEIF(D:D,"Nutrition",H:H)</f>
        <v>31.481481481481485</v>
      </c>
      <c r="I94" s="4">
        <f>SUMIF(D1:D87,"Nutrition",G1:G87)/SUM(G1:G87)</f>
        <v>0.25435038597409387</v>
      </c>
      <c r="J94" s="1">
        <f>SUMIF(D1:D76,"Nutrition",H1:H76)</f>
        <v>566.66666666666674</v>
      </c>
      <c r="K94" s="1">
        <f>SUMIF(D1:D76,"Nutrition",J1:J76)</f>
        <v>5936.3333333333339</v>
      </c>
    </row>
    <row r="95" spans="7:12" x14ac:dyDescent="0.3">
      <c r="G95" s="2" t="s">
        <v>115</v>
      </c>
      <c r="H95" s="2" t="s">
        <v>121</v>
      </c>
      <c r="I95" s="4" t="s">
        <v>126</v>
      </c>
      <c r="J95" s="1" t="s">
        <v>130</v>
      </c>
      <c r="K95" s="1" t="s">
        <v>135</v>
      </c>
    </row>
    <row r="96" spans="7:12" x14ac:dyDescent="0.3">
      <c r="G96" s="2">
        <f>AVERAGEIF(D:D,"Pet Food",G:G)</f>
        <v>657.66666666666663</v>
      </c>
      <c r="H96" s="2">
        <f>AVERAGEIF(D:D,"Pet food",H:H)</f>
        <v>48.198347107438011</v>
      </c>
      <c r="I96" s="4">
        <f>SUMIF(D1:D87,"Pet Food",G1:G87)/SUM(G1:G87)</f>
        <v>0.13521865634910246</v>
      </c>
      <c r="J96" s="1">
        <f>SUMIF(D1:D76,"Pet Food",H1:H76)</f>
        <v>530.18181818181813</v>
      </c>
      <c r="K96" s="1">
        <f>SUMIF(D1:D76,"Pet Food",J1:J76)</f>
        <v>4926.2727272727261</v>
      </c>
    </row>
    <row r="97" spans="7:11" x14ac:dyDescent="0.3">
      <c r="G97" s="2" t="s">
        <v>116</v>
      </c>
      <c r="H97" s="2" t="s">
        <v>119</v>
      </c>
      <c r="I97" s="4" t="s">
        <v>125</v>
      </c>
      <c r="J97" s="1" t="s">
        <v>131</v>
      </c>
      <c r="K97" s="1" t="s">
        <v>136</v>
      </c>
    </row>
    <row r="98" spans="7:11" x14ac:dyDescent="0.3">
      <c r="G98" s="2">
        <f>AVERAGEIF(D:D,"Food",G:G)</f>
        <v>971.55555555555566</v>
      </c>
      <c r="H98" s="2">
        <f>AVERAGEIF(D:D,"Food",H:H)</f>
        <v>56.076388888888886</v>
      </c>
      <c r="I98" s="4">
        <f>SUMIF(D1:D87,"Food",G1:G87)/SUM(G1:G87)</f>
        <v>0.21791492993900421</v>
      </c>
      <c r="J98" s="1">
        <f>SUMIF(D1:D76,"Food",H1:H76)</f>
        <v>672.91666666666663</v>
      </c>
      <c r="K98" s="1">
        <f>SUMIF(D1:D76,"Food",J1:J76)</f>
        <v>5053.0833333333339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opLeftCell="A17" zoomScaleNormal="100" workbookViewId="0">
      <selection activeCell="E24" sqref="E24"/>
    </sheetView>
  </sheetViews>
  <sheetFormatPr defaultRowHeight="14.4" x14ac:dyDescent="0.3"/>
  <cols>
    <col min="1" max="1" width="12.33203125" customWidth="1"/>
    <col min="3" max="3" width="15.5546875" customWidth="1"/>
    <col min="4" max="4" width="10.44140625" customWidth="1"/>
    <col min="5" max="5" width="9.6640625" customWidth="1"/>
    <col min="7" max="7" width="19.21875" customWidth="1"/>
    <col min="8" max="8" width="19.44140625" customWidth="1"/>
    <col min="9" max="9" width="22.21875" customWidth="1"/>
    <col min="10" max="10" width="24.44140625" customWidth="1"/>
    <col min="11" max="11" width="15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E2" t="s">
        <v>15</v>
      </c>
      <c r="F2">
        <v>2021</v>
      </c>
      <c r="L2" t="s">
        <v>16</v>
      </c>
    </row>
    <row r="3" spans="1:12" x14ac:dyDescent="0.3">
      <c r="A3" t="s">
        <v>17</v>
      </c>
      <c r="B3" t="s">
        <v>13</v>
      </c>
      <c r="C3" t="s">
        <v>18</v>
      </c>
      <c r="D3" t="s">
        <v>19</v>
      </c>
      <c r="E3" t="s">
        <v>15</v>
      </c>
      <c r="F3">
        <v>2021</v>
      </c>
    </row>
    <row r="4" spans="1:12" x14ac:dyDescent="0.3">
      <c r="A4" t="s">
        <v>20</v>
      </c>
      <c r="B4" t="s">
        <v>13</v>
      </c>
      <c r="C4" t="s">
        <v>21</v>
      </c>
      <c r="D4" t="s">
        <v>22</v>
      </c>
      <c r="E4" t="s">
        <v>23</v>
      </c>
      <c r="F4">
        <v>2020</v>
      </c>
      <c r="J4">
        <v>537</v>
      </c>
      <c r="L4" t="s">
        <v>24</v>
      </c>
    </row>
    <row r="5" spans="1:12" x14ac:dyDescent="0.3">
      <c r="A5" t="s">
        <v>25</v>
      </c>
      <c r="B5" t="s">
        <v>13</v>
      </c>
      <c r="C5" t="s">
        <v>18</v>
      </c>
      <c r="D5" t="s">
        <v>19</v>
      </c>
      <c r="E5" t="s">
        <v>26</v>
      </c>
      <c r="F5">
        <v>2019</v>
      </c>
      <c r="H5">
        <v>12</v>
      </c>
      <c r="L5" t="s">
        <v>24</v>
      </c>
    </row>
    <row r="6" spans="1:12" x14ac:dyDescent="0.3">
      <c r="A6" t="s">
        <v>27</v>
      </c>
      <c r="B6" t="s">
        <v>13</v>
      </c>
      <c r="C6" t="s">
        <v>28</v>
      </c>
      <c r="D6" t="s">
        <v>29</v>
      </c>
      <c r="F6">
        <v>2019</v>
      </c>
      <c r="J6">
        <v>651</v>
      </c>
      <c r="L6" t="s">
        <v>16</v>
      </c>
    </row>
    <row r="7" spans="1:12" x14ac:dyDescent="0.3">
      <c r="A7" t="s">
        <v>30</v>
      </c>
      <c r="B7" t="s">
        <v>13</v>
      </c>
      <c r="C7" t="s">
        <v>28</v>
      </c>
      <c r="E7" t="s">
        <v>15</v>
      </c>
      <c r="H7">
        <v>15</v>
      </c>
      <c r="J7">
        <v>250</v>
      </c>
      <c r="L7" t="s">
        <v>31</v>
      </c>
    </row>
    <row r="8" spans="1:12" x14ac:dyDescent="0.3">
      <c r="A8" t="s">
        <v>32</v>
      </c>
      <c r="B8" t="s">
        <v>13</v>
      </c>
      <c r="C8" t="s">
        <v>14</v>
      </c>
      <c r="D8" t="s">
        <v>33</v>
      </c>
      <c r="E8" t="s">
        <v>15</v>
      </c>
      <c r="F8" t="s">
        <v>34</v>
      </c>
      <c r="I8">
        <v>34</v>
      </c>
      <c r="L8" t="s">
        <v>24</v>
      </c>
    </row>
    <row r="9" spans="1:12" x14ac:dyDescent="0.3">
      <c r="A9" t="s">
        <v>35</v>
      </c>
      <c r="B9" t="s">
        <v>13</v>
      </c>
      <c r="C9" t="s">
        <v>36</v>
      </c>
      <c r="D9" t="s">
        <v>37</v>
      </c>
      <c r="F9">
        <v>2022</v>
      </c>
      <c r="I9">
        <v>31</v>
      </c>
    </row>
    <row r="10" spans="1:12" x14ac:dyDescent="0.3">
      <c r="A10" t="s">
        <v>38</v>
      </c>
      <c r="B10" t="s">
        <v>13</v>
      </c>
      <c r="C10" t="s">
        <v>28</v>
      </c>
      <c r="D10" t="s">
        <v>29</v>
      </c>
      <c r="E10" t="s">
        <v>39</v>
      </c>
      <c r="F10">
        <v>2020</v>
      </c>
      <c r="H10">
        <v>110</v>
      </c>
      <c r="L10" t="s">
        <v>40</v>
      </c>
    </row>
    <row r="11" spans="1:12" x14ac:dyDescent="0.3">
      <c r="A11" t="s">
        <v>41</v>
      </c>
      <c r="B11" t="s">
        <v>13</v>
      </c>
      <c r="C11" t="s">
        <v>18</v>
      </c>
      <c r="D11" t="s">
        <v>19</v>
      </c>
      <c r="F11">
        <v>2021</v>
      </c>
    </row>
    <row r="12" spans="1:12" x14ac:dyDescent="0.3">
      <c r="A12" t="s">
        <v>42</v>
      </c>
      <c r="B12" t="s">
        <v>13</v>
      </c>
      <c r="C12" t="s">
        <v>43</v>
      </c>
      <c r="D12" t="s">
        <v>19</v>
      </c>
      <c r="E12" t="s">
        <v>23</v>
      </c>
      <c r="F12">
        <v>2019</v>
      </c>
      <c r="H12">
        <v>118</v>
      </c>
      <c r="L12" t="s">
        <v>31</v>
      </c>
    </row>
    <row r="13" spans="1:12" x14ac:dyDescent="0.3">
      <c r="A13" t="s">
        <v>44</v>
      </c>
      <c r="B13" t="s">
        <v>13</v>
      </c>
      <c r="C13" t="s">
        <v>43</v>
      </c>
      <c r="D13" t="s">
        <v>19</v>
      </c>
      <c r="E13" t="s">
        <v>26</v>
      </c>
      <c r="F13">
        <v>2020</v>
      </c>
      <c r="G13">
        <v>476</v>
      </c>
      <c r="L13" t="s">
        <v>31</v>
      </c>
    </row>
    <row r="14" spans="1:12" x14ac:dyDescent="0.3">
      <c r="A14" t="s">
        <v>45</v>
      </c>
      <c r="B14" t="s">
        <v>46</v>
      </c>
      <c r="C14" t="s">
        <v>21</v>
      </c>
      <c r="D14" t="s">
        <v>22</v>
      </c>
      <c r="E14" t="s">
        <v>26</v>
      </c>
      <c r="J14">
        <v>674</v>
      </c>
      <c r="L14" t="s">
        <v>24</v>
      </c>
    </row>
    <row r="15" spans="1:12" x14ac:dyDescent="0.3">
      <c r="A15" t="s">
        <v>47</v>
      </c>
      <c r="B15" t="s">
        <v>13</v>
      </c>
      <c r="C15" t="s">
        <v>28</v>
      </c>
      <c r="D15" t="s">
        <v>29</v>
      </c>
      <c r="E15" t="s">
        <v>48</v>
      </c>
      <c r="F15">
        <v>2019</v>
      </c>
      <c r="G15">
        <v>1420</v>
      </c>
      <c r="J15">
        <v>747</v>
      </c>
      <c r="K15">
        <v>673</v>
      </c>
      <c r="L15" t="s">
        <v>24</v>
      </c>
    </row>
    <row r="16" spans="1:12" x14ac:dyDescent="0.3">
      <c r="A16" t="s">
        <v>49</v>
      </c>
      <c r="B16" t="s">
        <v>13</v>
      </c>
      <c r="C16" t="s">
        <v>18</v>
      </c>
      <c r="D16" t="s">
        <v>19</v>
      </c>
      <c r="E16" t="s">
        <v>15</v>
      </c>
      <c r="G16">
        <v>861</v>
      </c>
      <c r="H16">
        <v>113</v>
      </c>
      <c r="J16">
        <v>529</v>
      </c>
      <c r="K16">
        <v>332</v>
      </c>
    </row>
    <row r="17" spans="1:12" x14ac:dyDescent="0.3">
      <c r="A17" t="s">
        <v>50</v>
      </c>
      <c r="B17" t="s">
        <v>13</v>
      </c>
      <c r="C17" t="s">
        <v>36</v>
      </c>
      <c r="D17" t="s">
        <v>37</v>
      </c>
      <c r="E17" t="s">
        <v>51</v>
      </c>
      <c r="G17">
        <v>702</v>
      </c>
      <c r="J17">
        <v>101</v>
      </c>
      <c r="K17">
        <v>601</v>
      </c>
    </row>
    <row r="18" spans="1:12" x14ac:dyDescent="0.3">
      <c r="A18" t="s">
        <v>52</v>
      </c>
      <c r="B18" t="s">
        <v>13</v>
      </c>
      <c r="C18" t="s">
        <v>28</v>
      </c>
      <c r="D18" t="s">
        <v>29</v>
      </c>
      <c r="E18" t="s">
        <v>23</v>
      </c>
      <c r="J18">
        <v>132</v>
      </c>
      <c r="L18" t="s">
        <v>40</v>
      </c>
    </row>
    <row r="19" spans="1:12" x14ac:dyDescent="0.3">
      <c r="A19" t="s">
        <v>53</v>
      </c>
      <c r="B19" t="s">
        <v>13</v>
      </c>
      <c r="C19" t="s">
        <v>43</v>
      </c>
      <c r="D19" t="s">
        <v>19</v>
      </c>
      <c r="E19" t="s">
        <v>51</v>
      </c>
      <c r="G19">
        <v>747</v>
      </c>
      <c r="H19">
        <v>116</v>
      </c>
      <c r="I19">
        <v>26</v>
      </c>
      <c r="J19">
        <v>229</v>
      </c>
      <c r="K19">
        <v>518</v>
      </c>
    </row>
    <row r="20" spans="1:12" x14ac:dyDescent="0.3">
      <c r="A20" t="s">
        <v>54</v>
      </c>
      <c r="B20" t="s">
        <v>13</v>
      </c>
      <c r="C20" t="s">
        <v>21</v>
      </c>
      <c r="D20" t="s">
        <v>22</v>
      </c>
      <c r="E20" t="s">
        <v>15</v>
      </c>
      <c r="F20">
        <v>2022</v>
      </c>
      <c r="H20">
        <v>73</v>
      </c>
      <c r="I20">
        <v>16</v>
      </c>
    </row>
    <row r="21" spans="1:12" x14ac:dyDescent="0.3">
      <c r="A21" t="s">
        <v>55</v>
      </c>
      <c r="B21" t="s">
        <v>13</v>
      </c>
      <c r="C21" t="s">
        <v>36</v>
      </c>
      <c r="D21" t="s">
        <v>37</v>
      </c>
      <c r="E21" t="s">
        <v>26</v>
      </c>
      <c r="F21">
        <v>2022</v>
      </c>
      <c r="G21">
        <v>737</v>
      </c>
      <c r="H21">
        <v>112</v>
      </c>
      <c r="I21">
        <v>49</v>
      </c>
      <c r="J21">
        <v>826</v>
      </c>
      <c r="K21">
        <v>-89</v>
      </c>
      <c r="L21" t="s">
        <v>24</v>
      </c>
    </row>
    <row r="22" spans="1:12" x14ac:dyDescent="0.3">
      <c r="A22" t="s">
        <v>55</v>
      </c>
      <c r="B22" t="s">
        <v>46</v>
      </c>
      <c r="C22" t="s">
        <v>21</v>
      </c>
      <c r="D22" t="s">
        <v>22</v>
      </c>
      <c r="F22" t="s">
        <v>34</v>
      </c>
    </row>
    <row r="23" spans="1:12" x14ac:dyDescent="0.3">
      <c r="A23" t="s">
        <v>56</v>
      </c>
      <c r="B23" t="s">
        <v>13</v>
      </c>
      <c r="C23" t="s">
        <v>14</v>
      </c>
      <c r="D23" t="s">
        <v>33</v>
      </c>
      <c r="E23" t="s">
        <v>39</v>
      </c>
      <c r="F23">
        <v>2021</v>
      </c>
      <c r="H23">
        <v>47</v>
      </c>
      <c r="I23">
        <v>26</v>
      </c>
      <c r="L23" t="s">
        <v>31</v>
      </c>
    </row>
    <row r="24" spans="1:12" x14ac:dyDescent="0.3">
      <c r="A24" t="s">
        <v>57</v>
      </c>
      <c r="B24" t="s">
        <v>13</v>
      </c>
      <c r="C24" t="s">
        <v>43</v>
      </c>
      <c r="D24" t="s">
        <v>19</v>
      </c>
      <c r="E24" t="s">
        <v>15</v>
      </c>
      <c r="F24">
        <v>2022</v>
      </c>
      <c r="L24" t="s">
        <v>40</v>
      </c>
    </row>
    <row r="25" spans="1:12" x14ac:dyDescent="0.3">
      <c r="A25" t="s">
        <v>58</v>
      </c>
      <c r="B25" t="s">
        <v>13</v>
      </c>
      <c r="C25" t="s">
        <v>28</v>
      </c>
      <c r="D25" t="s">
        <v>29</v>
      </c>
      <c r="E25" t="s">
        <v>51</v>
      </c>
      <c r="F25">
        <v>2022</v>
      </c>
      <c r="G25">
        <v>262</v>
      </c>
      <c r="J25">
        <v>311</v>
      </c>
      <c r="K25">
        <v>-49</v>
      </c>
      <c r="L25" t="s">
        <v>24</v>
      </c>
    </row>
    <row r="26" spans="1:12" x14ac:dyDescent="0.3">
      <c r="A26" t="s">
        <v>59</v>
      </c>
      <c r="B26" t="s">
        <v>13</v>
      </c>
      <c r="C26" t="s">
        <v>43</v>
      </c>
      <c r="D26" t="s">
        <v>19</v>
      </c>
      <c r="E26" t="s">
        <v>26</v>
      </c>
      <c r="F26">
        <v>2020</v>
      </c>
      <c r="I26">
        <v>13</v>
      </c>
      <c r="J26">
        <v>592</v>
      </c>
      <c r="L26" t="s">
        <v>16</v>
      </c>
    </row>
    <row r="27" spans="1:12" x14ac:dyDescent="0.3">
      <c r="A27" t="s">
        <v>60</v>
      </c>
      <c r="B27" t="s">
        <v>13</v>
      </c>
      <c r="C27" t="s">
        <v>21</v>
      </c>
      <c r="D27" t="s">
        <v>22</v>
      </c>
      <c r="E27" t="s">
        <v>26</v>
      </c>
      <c r="F27">
        <v>2021</v>
      </c>
      <c r="H27">
        <v>64</v>
      </c>
      <c r="I27">
        <v>29</v>
      </c>
    </row>
    <row r="28" spans="1:12" x14ac:dyDescent="0.3">
      <c r="A28" t="s">
        <v>61</v>
      </c>
      <c r="B28" t="s">
        <v>13</v>
      </c>
      <c r="C28" t="s">
        <v>14</v>
      </c>
      <c r="D28" t="s">
        <v>33</v>
      </c>
      <c r="F28">
        <v>2019</v>
      </c>
      <c r="H28">
        <v>142</v>
      </c>
      <c r="I28">
        <v>49</v>
      </c>
    </row>
    <row r="29" spans="1:12" x14ac:dyDescent="0.3">
      <c r="A29" t="s">
        <v>62</v>
      </c>
      <c r="B29" t="s">
        <v>13</v>
      </c>
      <c r="C29" t="s">
        <v>18</v>
      </c>
      <c r="D29" t="s">
        <v>19</v>
      </c>
      <c r="E29" t="s">
        <v>23</v>
      </c>
      <c r="F29">
        <v>2022</v>
      </c>
      <c r="G29">
        <v>506</v>
      </c>
      <c r="H29">
        <v>48</v>
      </c>
      <c r="L29" t="s">
        <v>31</v>
      </c>
    </row>
    <row r="30" spans="1:12" x14ac:dyDescent="0.3">
      <c r="A30" t="s">
        <v>63</v>
      </c>
      <c r="B30" t="s">
        <v>13</v>
      </c>
      <c r="C30" t="s">
        <v>36</v>
      </c>
      <c r="D30" t="s">
        <v>37</v>
      </c>
      <c r="E30" t="s">
        <v>15</v>
      </c>
      <c r="F30">
        <v>2022</v>
      </c>
      <c r="G30">
        <v>292</v>
      </c>
      <c r="H30">
        <v>66</v>
      </c>
    </row>
    <row r="31" spans="1:12" x14ac:dyDescent="0.3">
      <c r="A31" t="s">
        <v>64</v>
      </c>
      <c r="B31" t="s">
        <v>13</v>
      </c>
      <c r="C31" t="s">
        <v>36</v>
      </c>
      <c r="D31" t="s">
        <v>37</v>
      </c>
      <c r="F31">
        <v>2021</v>
      </c>
      <c r="H31">
        <v>92</v>
      </c>
      <c r="I31">
        <v>37</v>
      </c>
      <c r="L31" t="s">
        <v>40</v>
      </c>
    </row>
    <row r="32" spans="1:12" x14ac:dyDescent="0.3">
      <c r="A32" t="s">
        <v>65</v>
      </c>
      <c r="B32" t="s">
        <v>13</v>
      </c>
      <c r="C32" t="s">
        <v>28</v>
      </c>
      <c r="D32" t="s">
        <v>29</v>
      </c>
      <c r="E32" t="s">
        <v>66</v>
      </c>
      <c r="F32">
        <v>2022</v>
      </c>
      <c r="I32">
        <v>46</v>
      </c>
      <c r="L32" t="s">
        <v>40</v>
      </c>
    </row>
    <row r="33" spans="1:12" x14ac:dyDescent="0.3">
      <c r="A33" t="s">
        <v>67</v>
      </c>
      <c r="B33" t="s">
        <v>46</v>
      </c>
      <c r="C33" t="s">
        <v>21</v>
      </c>
      <c r="F33">
        <v>2020</v>
      </c>
    </row>
    <row r="34" spans="1:12" x14ac:dyDescent="0.3">
      <c r="A34" t="s">
        <v>68</v>
      </c>
      <c r="B34" t="s">
        <v>13</v>
      </c>
      <c r="C34" t="s">
        <v>43</v>
      </c>
      <c r="D34" t="s">
        <v>19</v>
      </c>
      <c r="E34" t="s">
        <v>51</v>
      </c>
      <c r="F34">
        <v>2019</v>
      </c>
      <c r="J34">
        <v>481</v>
      </c>
      <c r="L34" t="s">
        <v>31</v>
      </c>
    </row>
    <row r="35" spans="1:12" x14ac:dyDescent="0.3">
      <c r="A35" t="s">
        <v>69</v>
      </c>
      <c r="B35" t="s">
        <v>13</v>
      </c>
      <c r="C35" t="s">
        <v>14</v>
      </c>
      <c r="D35" t="s">
        <v>33</v>
      </c>
      <c r="E35" t="s">
        <v>15</v>
      </c>
      <c r="F35" t="s">
        <v>34</v>
      </c>
      <c r="I35">
        <v>28</v>
      </c>
    </row>
    <row r="36" spans="1:12" x14ac:dyDescent="0.3">
      <c r="A36" t="s">
        <v>70</v>
      </c>
      <c r="B36" t="s">
        <v>13</v>
      </c>
      <c r="C36" t="s">
        <v>28</v>
      </c>
      <c r="E36" t="s">
        <v>15</v>
      </c>
      <c r="F36" t="s">
        <v>34</v>
      </c>
    </row>
    <row r="37" spans="1:12" x14ac:dyDescent="0.3">
      <c r="A37" t="s">
        <v>70</v>
      </c>
      <c r="B37" t="s">
        <v>13</v>
      </c>
      <c r="C37" t="s">
        <v>18</v>
      </c>
      <c r="D37" t="s">
        <v>19</v>
      </c>
      <c r="E37" t="s">
        <v>15</v>
      </c>
      <c r="F37" t="s">
        <v>34</v>
      </c>
    </row>
    <row r="38" spans="1:12" x14ac:dyDescent="0.3">
      <c r="A38" t="s">
        <v>71</v>
      </c>
      <c r="B38" t="s">
        <v>13</v>
      </c>
      <c r="C38" t="s">
        <v>36</v>
      </c>
      <c r="D38" t="s">
        <v>37</v>
      </c>
      <c r="E38" t="s">
        <v>15</v>
      </c>
      <c r="F38">
        <v>2021</v>
      </c>
      <c r="G38">
        <v>1026</v>
      </c>
      <c r="J38">
        <v>491</v>
      </c>
      <c r="K38">
        <v>535</v>
      </c>
      <c r="L38" t="s">
        <v>31</v>
      </c>
    </row>
    <row r="39" spans="1:12" x14ac:dyDescent="0.3">
      <c r="A39" t="s">
        <v>72</v>
      </c>
      <c r="B39" t="s">
        <v>13</v>
      </c>
      <c r="C39" t="s">
        <v>36</v>
      </c>
      <c r="D39" t="s">
        <v>37</v>
      </c>
      <c r="E39" t="s">
        <v>23</v>
      </c>
      <c r="F39">
        <v>2019</v>
      </c>
      <c r="G39">
        <v>690</v>
      </c>
      <c r="L39" t="s">
        <v>24</v>
      </c>
    </row>
    <row r="40" spans="1:12" x14ac:dyDescent="0.3">
      <c r="A40" t="s">
        <v>73</v>
      </c>
      <c r="B40" t="s">
        <v>13</v>
      </c>
      <c r="C40" t="s">
        <v>43</v>
      </c>
      <c r="D40" t="s">
        <v>19</v>
      </c>
      <c r="E40" t="s">
        <v>51</v>
      </c>
      <c r="F40" t="s">
        <v>34</v>
      </c>
      <c r="L40" t="s">
        <v>16</v>
      </c>
    </row>
    <row r="41" spans="1:12" x14ac:dyDescent="0.3">
      <c r="A41" t="s">
        <v>74</v>
      </c>
      <c r="B41" t="s">
        <v>13</v>
      </c>
      <c r="C41" t="s">
        <v>28</v>
      </c>
      <c r="D41" t="s">
        <v>29</v>
      </c>
      <c r="E41" t="s">
        <v>51</v>
      </c>
      <c r="F41">
        <v>2019</v>
      </c>
      <c r="G41">
        <v>821</v>
      </c>
      <c r="H41">
        <v>27</v>
      </c>
    </row>
    <row r="42" spans="1:12" x14ac:dyDescent="0.3">
      <c r="A42" t="s">
        <v>75</v>
      </c>
      <c r="B42" t="s">
        <v>13</v>
      </c>
      <c r="C42" t="s">
        <v>36</v>
      </c>
      <c r="D42" t="s">
        <v>37</v>
      </c>
      <c r="E42" t="s">
        <v>26</v>
      </c>
      <c r="F42">
        <v>2021</v>
      </c>
    </row>
    <row r="43" spans="1:12" x14ac:dyDescent="0.3">
      <c r="A43" t="s">
        <v>76</v>
      </c>
      <c r="B43" t="s">
        <v>13</v>
      </c>
      <c r="C43" t="s">
        <v>36</v>
      </c>
      <c r="D43" t="s">
        <v>37</v>
      </c>
      <c r="F43">
        <v>2022</v>
      </c>
      <c r="G43">
        <v>1263</v>
      </c>
      <c r="J43">
        <v>542</v>
      </c>
      <c r="K43">
        <v>721</v>
      </c>
      <c r="L43" t="s">
        <v>24</v>
      </c>
    </row>
    <row r="44" spans="1:12" x14ac:dyDescent="0.3">
      <c r="A44" t="s">
        <v>77</v>
      </c>
      <c r="B44" t="s">
        <v>13</v>
      </c>
      <c r="C44" t="s">
        <v>28</v>
      </c>
      <c r="D44" t="s">
        <v>29</v>
      </c>
      <c r="E44" t="s">
        <v>26</v>
      </c>
      <c r="F44">
        <v>2020</v>
      </c>
      <c r="J44">
        <v>776</v>
      </c>
      <c r="L44" t="s">
        <v>40</v>
      </c>
    </row>
    <row r="45" spans="1:12" x14ac:dyDescent="0.3">
      <c r="A45" t="s">
        <v>77</v>
      </c>
      <c r="B45" t="s">
        <v>13</v>
      </c>
      <c r="C45" t="s">
        <v>21</v>
      </c>
      <c r="D45" t="s">
        <v>22</v>
      </c>
      <c r="E45" t="s">
        <v>48</v>
      </c>
      <c r="F45">
        <v>2019</v>
      </c>
      <c r="L45" t="s">
        <v>16</v>
      </c>
    </row>
    <row r="46" spans="1:12" x14ac:dyDescent="0.3">
      <c r="A46" t="s">
        <v>78</v>
      </c>
      <c r="B46" t="s">
        <v>13</v>
      </c>
      <c r="C46" t="s">
        <v>43</v>
      </c>
      <c r="D46" t="s">
        <v>19</v>
      </c>
      <c r="F46" t="s">
        <v>34</v>
      </c>
      <c r="G46">
        <v>1378</v>
      </c>
      <c r="H46">
        <v>42</v>
      </c>
      <c r="J46">
        <v>711</v>
      </c>
      <c r="K46">
        <v>667</v>
      </c>
      <c r="L46" t="s">
        <v>24</v>
      </c>
    </row>
    <row r="47" spans="1:12" x14ac:dyDescent="0.3">
      <c r="A47" t="s">
        <v>79</v>
      </c>
      <c r="B47" t="s">
        <v>13</v>
      </c>
      <c r="C47" t="s">
        <v>14</v>
      </c>
      <c r="D47" t="s">
        <v>33</v>
      </c>
      <c r="E47" t="s">
        <v>39</v>
      </c>
      <c r="F47">
        <v>2020</v>
      </c>
      <c r="I47">
        <v>38</v>
      </c>
      <c r="J47">
        <v>880</v>
      </c>
      <c r="L47" t="s">
        <v>24</v>
      </c>
    </row>
    <row r="48" spans="1:12" x14ac:dyDescent="0.3">
      <c r="A48" t="s">
        <v>80</v>
      </c>
      <c r="B48" t="s">
        <v>13</v>
      </c>
      <c r="C48" t="s">
        <v>21</v>
      </c>
      <c r="D48" t="s">
        <v>22</v>
      </c>
      <c r="E48" t="s">
        <v>48</v>
      </c>
      <c r="F48">
        <v>2019</v>
      </c>
      <c r="G48">
        <v>411</v>
      </c>
      <c r="L48" t="s">
        <v>40</v>
      </c>
    </row>
    <row r="49" spans="1:12" x14ac:dyDescent="0.3">
      <c r="A49" t="s">
        <v>81</v>
      </c>
      <c r="B49" t="s">
        <v>13</v>
      </c>
      <c r="C49" t="s">
        <v>14</v>
      </c>
      <c r="D49" t="s">
        <v>33</v>
      </c>
      <c r="E49" t="s">
        <v>51</v>
      </c>
      <c r="F49" t="s">
        <v>34</v>
      </c>
      <c r="H49">
        <v>104</v>
      </c>
      <c r="I49">
        <v>49</v>
      </c>
      <c r="L49" t="s">
        <v>16</v>
      </c>
    </row>
    <row r="50" spans="1:12" x14ac:dyDescent="0.3">
      <c r="A50" t="s">
        <v>82</v>
      </c>
      <c r="B50" t="s">
        <v>13</v>
      </c>
      <c r="C50" t="s">
        <v>28</v>
      </c>
      <c r="D50" t="s">
        <v>29</v>
      </c>
      <c r="E50" t="s">
        <v>48</v>
      </c>
      <c r="H50">
        <v>104</v>
      </c>
      <c r="I50">
        <v>22</v>
      </c>
      <c r="J50">
        <v>117</v>
      </c>
    </row>
    <row r="51" spans="1:12" x14ac:dyDescent="0.3">
      <c r="A51" t="s">
        <v>83</v>
      </c>
      <c r="B51" t="s">
        <v>13</v>
      </c>
      <c r="C51" t="s">
        <v>28</v>
      </c>
      <c r="D51" t="s">
        <v>29</v>
      </c>
      <c r="E51" t="s">
        <v>39</v>
      </c>
      <c r="F51">
        <v>2019</v>
      </c>
      <c r="H51">
        <v>33</v>
      </c>
      <c r="L51" t="s">
        <v>40</v>
      </c>
    </row>
    <row r="52" spans="1:12" x14ac:dyDescent="0.3">
      <c r="A52" t="s">
        <v>84</v>
      </c>
      <c r="B52" t="s">
        <v>13</v>
      </c>
      <c r="C52" t="s">
        <v>18</v>
      </c>
      <c r="D52" t="s">
        <v>19</v>
      </c>
      <c r="E52" t="s">
        <v>48</v>
      </c>
      <c r="F52">
        <v>2020</v>
      </c>
      <c r="H52">
        <v>87</v>
      </c>
    </row>
    <row r="53" spans="1:12" x14ac:dyDescent="0.3">
      <c r="A53" t="s">
        <v>85</v>
      </c>
      <c r="B53" t="s">
        <v>13</v>
      </c>
      <c r="C53" t="s">
        <v>43</v>
      </c>
      <c r="E53" t="s">
        <v>26</v>
      </c>
      <c r="F53">
        <v>2021</v>
      </c>
      <c r="H53">
        <v>109</v>
      </c>
      <c r="L53" t="s">
        <v>31</v>
      </c>
    </row>
    <row r="54" spans="1:12" x14ac:dyDescent="0.3">
      <c r="A54" t="s">
        <v>86</v>
      </c>
      <c r="B54" t="s">
        <v>13</v>
      </c>
      <c r="C54" t="s">
        <v>28</v>
      </c>
      <c r="D54" t="s">
        <v>29</v>
      </c>
      <c r="E54" t="s">
        <v>15</v>
      </c>
      <c r="F54">
        <v>2020</v>
      </c>
      <c r="L54" t="s">
        <v>24</v>
      </c>
    </row>
    <row r="55" spans="1:12" x14ac:dyDescent="0.3">
      <c r="A55" t="s">
        <v>87</v>
      </c>
      <c r="B55" t="s">
        <v>13</v>
      </c>
      <c r="C55" t="s">
        <v>18</v>
      </c>
      <c r="D55" t="s">
        <v>19</v>
      </c>
      <c r="E55" t="s">
        <v>26</v>
      </c>
      <c r="I55">
        <v>47</v>
      </c>
      <c r="J55">
        <v>402</v>
      </c>
    </row>
    <row r="56" spans="1:12" x14ac:dyDescent="0.3">
      <c r="A56" t="s">
        <v>88</v>
      </c>
      <c r="B56" t="s">
        <v>13</v>
      </c>
      <c r="C56" t="s">
        <v>43</v>
      </c>
      <c r="D56" t="s">
        <v>19</v>
      </c>
      <c r="E56" t="s">
        <v>66</v>
      </c>
      <c r="F56" t="s">
        <v>34</v>
      </c>
      <c r="G56">
        <v>492</v>
      </c>
      <c r="I56">
        <v>16</v>
      </c>
      <c r="J56">
        <v>140</v>
      </c>
      <c r="K56">
        <v>352</v>
      </c>
      <c r="L56" t="s">
        <v>24</v>
      </c>
    </row>
    <row r="57" spans="1:12" x14ac:dyDescent="0.3">
      <c r="A57" t="s">
        <v>89</v>
      </c>
      <c r="B57" t="s">
        <v>13</v>
      </c>
      <c r="C57" t="s">
        <v>43</v>
      </c>
      <c r="D57" t="s">
        <v>19</v>
      </c>
      <c r="E57" t="s">
        <v>23</v>
      </c>
      <c r="F57">
        <v>2022</v>
      </c>
      <c r="H57">
        <v>30</v>
      </c>
      <c r="I57">
        <v>18</v>
      </c>
      <c r="L57" t="s">
        <v>24</v>
      </c>
    </row>
    <row r="58" spans="1:12" x14ac:dyDescent="0.3">
      <c r="A58" t="s">
        <v>89</v>
      </c>
      <c r="B58" t="s">
        <v>46</v>
      </c>
      <c r="C58" t="s">
        <v>21</v>
      </c>
      <c r="E58" t="s">
        <v>51</v>
      </c>
      <c r="I58">
        <v>30</v>
      </c>
      <c r="L58" t="s">
        <v>40</v>
      </c>
    </row>
    <row r="59" spans="1:12" x14ac:dyDescent="0.3">
      <c r="A59" t="s">
        <v>90</v>
      </c>
      <c r="B59" t="s">
        <v>13</v>
      </c>
      <c r="C59" t="s">
        <v>43</v>
      </c>
      <c r="E59" t="s">
        <v>51</v>
      </c>
      <c r="F59">
        <v>2022</v>
      </c>
      <c r="L59" t="s">
        <v>31</v>
      </c>
    </row>
    <row r="60" spans="1:12" x14ac:dyDescent="0.3">
      <c r="A60" t="s">
        <v>91</v>
      </c>
      <c r="B60" t="s">
        <v>13</v>
      </c>
      <c r="C60" t="s">
        <v>28</v>
      </c>
      <c r="D60" t="s">
        <v>29</v>
      </c>
      <c r="E60" t="s">
        <v>26</v>
      </c>
      <c r="F60" t="s">
        <v>34</v>
      </c>
      <c r="L60" t="s">
        <v>40</v>
      </c>
    </row>
    <row r="61" spans="1:12" x14ac:dyDescent="0.3">
      <c r="A61" t="s">
        <v>92</v>
      </c>
      <c r="B61" t="s">
        <v>13</v>
      </c>
      <c r="C61" t="s">
        <v>43</v>
      </c>
      <c r="D61" t="s">
        <v>19</v>
      </c>
      <c r="E61" t="s">
        <v>39</v>
      </c>
      <c r="H61">
        <v>108</v>
      </c>
      <c r="L61" t="s">
        <v>40</v>
      </c>
    </row>
    <row r="62" spans="1:12" x14ac:dyDescent="0.3">
      <c r="A62" t="s">
        <v>93</v>
      </c>
      <c r="B62" t="s">
        <v>13</v>
      </c>
      <c r="C62" t="s">
        <v>14</v>
      </c>
      <c r="D62" t="s">
        <v>33</v>
      </c>
      <c r="E62" t="s">
        <v>48</v>
      </c>
      <c r="F62">
        <v>2022</v>
      </c>
      <c r="L62" t="s">
        <v>24</v>
      </c>
    </row>
    <row r="63" spans="1:12" x14ac:dyDescent="0.3">
      <c r="A63" t="s">
        <v>94</v>
      </c>
      <c r="B63" t="s">
        <v>13</v>
      </c>
      <c r="C63" t="s">
        <v>28</v>
      </c>
      <c r="D63" t="s">
        <v>29</v>
      </c>
      <c r="E63" t="s">
        <v>15</v>
      </c>
      <c r="F63">
        <v>2019</v>
      </c>
      <c r="L63" t="s">
        <v>40</v>
      </c>
    </row>
    <row r="64" spans="1:12" x14ac:dyDescent="0.3">
      <c r="A64" t="s">
        <v>95</v>
      </c>
      <c r="B64" t="s">
        <v>46</v>
      </c>
      <c r="C64" t="s">
        <v>14</v>
      </c>
      <c r="D64" t="s">
        <v>33</v>
      </c>
      <c r="E64" t="s">
        <v>26</v>
      </c>
      <c r="F64" t="s">
        <v>34</v>
      </c>
      <c r="H64">
        <v>41</v>
      </c>
      <c r="L64" t="s">
        <v>16</v>
      </c>
    </row>
    <row r="65" spans="1:12" x14ac:dyDescent="0.3">
      <c r="A65" t="s">
        <v>96</v>
      </c>
      <c r="B65" t="s">
        <v>13</v>
      </c>
      <c r="C65" t="s">
        <v>28</v>
      </c>
      <c r="D65" t="s">
        <v>29</v>
      </c>
      <c r="E65" t="s">
        <v>48</v>
      </c>
      <c r="F65">
        <v>2021</v>
      </c>
      <c r="L65" t="s">
        <v>40</v>
      </c>
    </row>
    <row r="66" spans="1:12" x14ac:dyDescent="0.3">
      <c r="A66" t="s">
        <v>97</v>
      </c>
      <c r="B66" t="s">
        <v>13</v>
      </c>
      <c r="C66" t="s">
        <v>36</v>
      </c>
      <c r="E66" t="s">
        <v>66</v>
      </c>
      <c r="F66" t="s">
        <v>34</v>
      </c>
      <c r="G66">
        <v>1275</v>
      </c>
      <c r="H66">
        <v>47</v>
      </c>
      <c r="J66">
        <v>303</v>
      </c>
      <c r="K66">
        <v>972</v>
      </c>
      <c r="L66" t="s">
        <v>31</v>
      </c>
    </row>
    <row r="67" spans="1:12" x14ac:dyDescent="0.3">
      <c r="A67" t="s">
        <v>98</v>
      </c>
      <c r="B67" t="s">
        <v>13</v>
      </c>
      <c r="C67" t="s">
        <v>28</v>
      </c>
      <c r="D67" t="s">
        <v>29</v>
      </c>
      <c r="E67" t="s">
        <v>51</v>
      </c>
      <c r="F67">
        <v>2021</v>
      </c>
      <c r="H67">
        <v>51</v>
      </c>
      <c r="I67">
        <v>43</v>
      </c>
    </row>
    <row r="68" spans="1:12" x14ac:dyDescent="0.3">
      <c r="A68" t="s">
        <v>99</v>
      </c>
      <c r="B68" t="s">
        <v>13</v>
      </c>
      <c r="C68" t="s">
        <v>43</v>
      </c>
      <c r="D68" t="s">
        <v>19</v>
      </c>
      <c r="E68" t="s">
        <v>66</v>
      </c>
      <c r="F68">
        <v>2022</v>
      </c>
      <c r="I68">
        <v>41</v>
      </c>
      <c r="L68" t="s">
        <v>31</v>
      </c>
    </row>
    <row r="69" spans="1:12" x14ac:dyDescent="0.3">
      <c r="A69" t="s">
        <v>100</v>
      </c>
      <c r="B69" t="s">
        <v>13</v>
      </c>
      <c r="C69" t="s">
        <v>21</v>
      </c>
      <c r="D69" t="s">
        <v>22</v>
      </c>
      <c r="E69" t="s">
        <v>48</v>
      </c>
      <c r="F69" t="s">
        <v>34</v>
      </c>
      <c r="G69">
        <v>709</v>
      </c>
      <c r="H69">
        <v>113</v>
      </c>
      <c r="I69">
        <v>18</v>
      </c>
      <c r="J69">
        <v>488</v>
      </c>
      <c r="K69">
        <v>221</v>
      </c>
      <c r="L69" t="s">
        <v>31</v>
      </c>
    </row>
    <row r="70" spans="1:12" x14ac:dyDescent="0.3">
      <c r="A70" t="s">
        <v>101</v>
      </c>
      <c r="B70" t="s">
        <v>13</v>
      </c>
      <c r="C70" t="s">
        <v>36</v>
      </c>
      <c r="D70" t="s">
        <v>37</v>
      </c>
      <c r="F70">
        <v>2020</v>
      </c>
      <c r="G70">
        <v>1279</v>
      </c>
    </row>
    <row r="71" spans="1:12" x14ac:dyDescent="0.3">
      <c r="A71" t="s">
        <v>102</v>
      </c>
      <c r="B71" t="s">
        <v>13</v>
      </c>
      <c r="C71" t="s">
        <v>21</v>
      </c>
      <c r="D71" t="s">
        <v>22</v>
      </c>
      <c r="E71" t="s">
        <v>26</v>
      </c>
      <c r="F71">
        <v>2021</v>
      </c>
      <c r="G71">
        <v>853</v>
      </c>
      <c r="H71">
        <v>74</v>
      </c>
      <c r="L71" t="s">
        <v>24</v>
      </c>
    </row>
    <row r="72" spans="1:12" x14ac:dyDescent="0.3">
      <c r="A72" t="s">
        <v>103</v>
      </c>
      <c r="B72" t="s">
        <v>13</v>
      </c>
      <c r="C72" t="s">
        <v>28</v>
      </c>
      <c r="D72" t="s">
        <v>29</v>
      </c>
      <c r="E72" t="s">
        <v>48</v>
      </c>
      <c r="F72" t="s">
        <v>34</v>
      </c>
      <c r="G72">
        <v>521</v>
      </c>
      <c r="I72">
        <v>19</v>
      </c>
      <c r="L72" t="s">
        <v>24</v>
      </c>
    </row>
    <row r="73" spans="1:12" x14ac:dyDescent="0.3">
      <c r="A73" t="s">
        <v>104</v>
      </c>
      <c r="B73" t="s">
        <v>13</v>
      </c>
      <c r="C73" t="s">
        <v>14</v>
      </c>
      <c r="D73" t="s">
        <v>33</v>
      </c>
      <c r="E73" t="s">
        <v>39</v>
      </c>
      <c r="F73">
        <v>2020</v>
      </c>
      <c r="L73" t="s">
        <v>40</v>
      </c>
    </row>
    <row r="74" spans="1:12" x14ac:dyDescent="0.3">
      <c r="A74" t="s">
        <v>105</v>
      </c>
      <c r="B74" t="s">
        <v>46</v>
      </c>
      <c r="C74" t="s">
        <v>36</v>
      </c>
      <c r="D74" t="s">
        <v>37</v>
      </c>
      <c r="E74" t="s">
        <v>48</v>
      </c>
      <c r="F74">
        <v>2021</v>
      </c>
      <c r="G74">
        <v>1480</v>
      </c>
      <c r="H74">
        <v>108</v>
      </c>
    </row>
    <row r="75" spans="1:12" x14ac:dyDescent="0.3">
      <c r="A75" t="s">
        <v>106</v>
      </c>
      <c r="B75" t="s">
        <v>13</v>
      </c>
      <c r="C75" t="s">
        <v>43</v>
      </c>
      <c r="D75" t="s">
        <v>19</v>
      </c>
      <c r="F75">
        <v>2021</v>
      </c>
      <c r="H75">
        <v>119</v>
      </c>
      <c r="I75">
        <v>28</v>
      </c>
      <c r="J75">
        <v>164</v>
      </c>
    </row>
    <row r="76" spans="1:12" x14ac:dyDescent="0.3">
      <c r="A76" t="s">
        <v>107</v>
      </c>
      <c r="B76" t="s">
        <v>13</v>
      </c>
      <c r="C76" t="s">
        <v>14</v>
      </c>
      <c r="D76" t="s">
        <v>33</v>
      </c>
      <c r="E76" t="s">
        <v>39</v>
      </c>
      <c r="F76">
        <v>2021</v>
      </c>
      <c r="G76">
        <v>332</v>
      </c>
      <c r="H76">
        <v>97</v>
      </c>
      <c r="L76" t="s">
        <v>16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FAA43-D120-4D9B-AD82-E2206CCB9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Nestle_Raw_Data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Prasad</cp:lastModifiedBy>
  <dcterms:created xsi:type="dcterms:W3CDTF">2026-02-09T10:55:26Z</dcterms:created>
  <dcterms:modified xsi:type="dcterms:W3CDTF">2026-02-12T07:22:34Z</dcterms:modified>
</cp:coreProperties>
</file>